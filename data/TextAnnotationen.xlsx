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home\aya\nlp\contextual-props-de\data\"/>
    </mc:Choice>
  </mc:AlternateContent>
  <xr:revisionPtr revIDLastSave="0" documentId="13_ncr:1_{2EB9EB74-5504-4588-A25C-89BA09E029ED}" xr6:coauthVersionLast="47" xr6:coauthVersionMax="47" xr10:uidLastSave="{00000000-0000-0000-0000-000000000000}"/>
  <bookViews>
    <workbookView xWindow="-120" yWindow="-120" windowWidth="29040" windowHeight="15720" xr2:uid="{2E0BC225-40F6-466E-8779-61949DCC7017}"/>
  </bookViews>
  <sheets>
    <sheet name="Table_textAnnotations" sheetId="2" r:id="rId1"/>
    <sheet name="Tabelle1" sheetId="1" r:id="rId2"/>
  </sheets>
  <definedNames>
    <definedName name="ExterneDaten_1" localSheetId="0" hidden="1">Table_textAnnotations!$A$1:$G$467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H11" i="2"/>
  <c r="H2" i="2"/>
  <c r="H3" i="2"/>
  <c r="H4" i="2"/>
  <c r="H5" i="2"/>
  <c r="H6" i="2"/>
  <c r="H7" i="2"/>
  <c r="H8" i="2"/>
  <c r="H9" i="2"/>
  <c r="H10"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J468"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DDB28B-BC0D-45B8-B236-A09A75EB8507}" keepAlive="1" name="Abfrage - Table_textAnnotations" description="Verbindung mit der Abfrage 'Table_textAnnotations' in der Arbeitsmappe." type="5" refreshedVersion="8" background="1" saveData="1">
    <dbPr connection="Provider=Microsoft.Mashup.OleDb.1;Data Source=$Workbook$;Location=Table_textAnnotations;Extended Properties=&quot;&quot;" command="SELECT * FROM [Table_textAnnotations]"/>
  </connection>
</connections>
</file>

<file path=xl/sharedStrings.xml><?xml version="1.0" encoding="utf-8"?>
<sst xmlns="http://schemas.openxmlformats.org/spreadsheetml/2006/main" count="2837" uniqueCount="1457">
  <si>
    <t>Buch_Key</t>
  </si>
  <si>
    <t>Buch_Titel</t>
  </si>
  <si>
    <t>Buch_Jahr</t>
  </si>
  <si>
    <t>Anno_Key</t>
  </si>
  <si>
    <t>Anno_Page_Auto</t>
  </si>
  <si>
    <t>Anno_Page_manuell</t>
  </si>
  <si>
    <t>Anno_Text</t>
  </si>
  <si>
    <t>BZS6T4MT</t>
  </si>
  <si>
    <t>Abriss der Anatomie</t>
  </si>
  <si>
    <t>HRQVHUY9</t>
  </si>
  <si>
    <t>2</t>
  </si>
  <si>
    <t>Der äußere, weibliche Genitalapparat umfaßt zunächst  zwei große Hautfalten oder Schamlippen. die Labia majora  und zwei kleine. haarlose Hautfalten, die Labia minora, die  sich vorn zur Clitoris mit dem Praeputium clitoridis vereinigen und seitlich das Vestibulum vaginae begrenzen.</t>
  </si>
  <si>
    <t>M2BXMD3R</t>
  </si>
  <si>
    <t>Am hinteren Innenrand der Labia minora mündet  der Ductus excretorius der Glandula vestibularis major Bartholini) in das Ver-tibulum vaginae; an der Basis der Labia minora ein cavernöses Schwellkörpergewebe: Bulbus  vestibuli.</t>
  </si>
  <si>
    <t>KSIJHSDS</t>
  </si>
  <si>
    <t>3</t>
  </si>
  <si>
    <t>Bei der Frau tritt zwischen Lig. arcuatum  und Lig. praeurethrale die Vena dorsalis clitoridis mit den begleitenden Arterien hindurch.</t>
  </si>
  <si>
    <t>HBMVMHR9</t>
  </si>
  <si>
    <t>Der M. Bulbocavernosus umfaßt das Ostium vaginae  und verbindet sich auch mit dem Sphincter ani externus; die Muskelfasern bleiben hierbei teils auf der gleichen  Seite, teils überkreuzen sie die mittlere Dammregion  zwischen Anal- und Vaginalöffnung.</t>
  </si>
  <si>
    <t>GEBXC9PA</t>
  </si>
  <si>
    <t>Der M. Ischiocavernosus  bedeckt die paarigen Crura clitoridis.</t>
  </si>
  <si>
    <t>XGDPIHSB</t>
  </si>
  <si>
    <t>Topographische Dermatologie: Diagnostik d. Hautkrankheiten verschiedener Körpergegenden</t>
  </si>
  <si>
    <t>UQKI5R8K</t>
  </si>
  <si>
    <t>90f</t>
  </si>
  <si>
    <t>Wenn man bei einer Frau nach einem syphilitischen Primäraffekt sucht, weil etwa mit der Möglichkeit einer frischen Infektion zu rechnen ist oder weil sie als Infektionsquelle in Frage kommt, so müssen besonders die Klitorisgegend, die Urethralmündung, die Innenseiten der Labien und die hintere Kommissur des Scheideneinganges und nicht zu vergessen die Portio uteri sorgfältig nachgesehen werden.</t>
  </si>
  <si>
    <t>B4TI5NER</t>
  </si>
  <si>
    <t>Münchener klinisches Rezepttaschenbuch</t>
  </si>
  <si>
    <t>A2LQB6TG</t>
  </si>
  <si>
    <t>474</t>
  </si>
  <si>
    <t>Pruritus vulvae.  Starkes, oft unerträgliches Brennen und Jucken an den  äußeren Genitalien, im Scheideneingang und am Anus,  manchmal mit Rötung der kleinen Labien und der Klitoris, geringe Hauteinrisse. Klärung der Ätiologie (Dia  betes, Fluor, Trichomonaden, Oxyuren, Kraurosis und  Leukoplakia vulvae).</t>
  </si>
  <si>
    <t>9DT96CCM</t>
  </si>
  <si>
    <t>Die Frau: Ein Gesundheitsbuch</t>
  </si>
  <si>
    <t>6X7YN4GT</t>
  </si>
  <si>
    <t>42f</t>
  </si>
  <si>
    <t>Diese bestehen aus: 1. den großen Schamlippen, 2. den kleinen Schamlippen, 3. dem Kitzler, 4. dem Jungfernhäutchen.</t>
  </si>
  <si>
    <t>GWFTKQ6T</t>
  </si>
  <si>
    <t>43</t>
  </si>
  <si>
    <t>Gleich  wie die großen verlaufen die kleinen, nichtbehaarten Schamlippen. An ihrer oberen Vereinigungsstelle umfassen sie den Kitzler, das Wollustorgan des Weibes.</t>
  </si>
  <si>
    <t>N9GDRRND</t>
  </si>
  <si>
    <t>Handbuch der inneren Medizin</t>
  </si>
  <si>
    <t>KSQ3XJFH</t>
  </si>
  <si>
    <t>7</t>
  </si>
  <si>
    <t>[Kontext: Das adreno-genitale Syndrom bei Kindern] Besonders deutlich sind die Veränderungen des äußeren Genitale: Die Labien bleiben klein, die Klitoris hingegen wächst enorm und nimmt besonders dann, wenn es zur Bildung eines Präputium kommt, den Charakter eines Penis an.</t>
  </si>
  <si>
    <t>CVSI6B3E</t>
  </si>
  <si>
    <t>9</t>
  </si>
  <si>
    <t>[Kontext: Das adreno-genitale Syndrom bei geschlechtsreifen Frauen] In der Regel ist die Klitoris verändert und vergrößert, wenn das Ausmaß dieser Veränderung auch verschieden ist. Es kann sich um die penisartig vergrößerte Klitoris ein Präputium bilden, das nach caudal, ähnlich wie bei einer Hypospadie, gespalten ist.</t>
  </si>
  <si>
    <t>R3S55X8R</t>
  </si>
  <si>
    <t>12</t>
  </si>
  <si>
    <t>[Kontext: Pathologische Physiologie des adreno-genitalen Syndroms] So konnte HODLER nach der Injektion von Rindenextrakten bei jungen Meerschweinchen Wachstum der Klitoris und maskulinisierende Wirkung nachweisen.</t>
  </si>
  <si>
    <t>LLPLPG4I</t>
  </si>
  <si>
    <t>20</t>
  </si>
  <si>
    <t>[Kontext: Dystrophia adiposo-genitalis] Beim Mädchen zeigt das Genitale den infantilen Habitus, Labien und Clitoris entwickeln sich nicht.</t>
  </si>
  <si>
    <t>BUWRS4EI</t>
  </si>
  <si>
    <t>Operative Gynäkologie</t>
  </si>
  <si>
    <t>GS759ILG</t>
  </si>
  <si>
    <t>60</t>
  </si>
  <si>
    <t>Die Carcinome der Vulva haben am häufigsten ihren Sitz an den klima Labien, an der Clitoris, an der Urethra und an den großen Labien.</t>
  </si>
  <si>
    <t>NR8RVX53</t>
  </si>
  <si>
    <t>61</t>
  </si>
  <si>
    <t>[Kontext: Radikaloperation des Vulvacarzinoms] Die Operation kann sehr blutreich sein im Bereich der Corpora cavernosa der Clitoris und beim Abtragen der Corpora cavernosa des Vestibulums.</t>
  </si>
  <si>
    <t>HZLP3PFB</t>
  </si>
  <si>
    <t>Auch völlig inoperable, größere, jauchende Vulvacarcinome erfordern einen Eingriff, wenn es sich auch nur um eine rein palliative Operation handeln  kann. Die Tumoren werden nach den Vorschriften von v. SEEMEN mit dem  Thermoflux abgetragen oder wenigstens verschorft, weit im Gesunden. Womöglich werden auch die großen und kleinen Labien der erkrankten Seite abgetragen. Die Clitoris wird unter möglichster Schonung der Urethra nach Einführung eines Katheters entfernt.</t>
  </si>
  <si>
    <t>3HPFJFZN</t>
  </si>
  <si>
    <t>65</t>
  </si>
  <si>
    <t>[Kontext: Vordere Scheidenplastik] Im Bereich des Bulbus der Urethra wird die Harnblase und die erweiterte Urethra am wenigsten von der Scheidenschleimhaut abgelöst, in der Mitte, dem Hauptteil der Cystocele, am meisten, und unten an der Portio wieder weniger.</t>
  </si>
  <si>
    <t>YB6R6S7I</t>
  </si>
  <si>
    <t>[Kontext: Vordere Scheidenplastik] Nach der Versenkung der Harnblase zeigt sich oft, daß auch der Bulbus der Urethra vorgewölbt ist. Dieser wird mit feinsten Knopfnähten gerafft, möglichst mit Darmnadeln.</t>
  </si>
  <si>
    <t>RMDEGUNT</t>
  </si>
  <si>
    <t>[Kontext: Vordere Scheidenplastik] Man hat dabei zu berücksichtigen, daß der Bulbus der Urethra bei größeren Cystocelen oft überdehnt ist, so daß gleichzeitig eine Urethrocele und Cystocele besteht. Man wird nach Möglichkeit nur das Bindegewebe und den Muskel raffen und dadurch die Vorwölbung der Harnröhre einstülpen und zurückhalten.</t>
  </si>
  <si>
    <t>4XIVZXJI</t>
  </si>
  <si>
    <t>Vom Knaben zum Mann: Ein Arzt berät die männliche Jugend</t>
  </si>
  <si>
    <t>KEIENVR9</t>
  </si>
  <si>
    <t>18,20</t>
  </si>
  <si>
    <t>Der äussere Teil der weiblichen Fortpflanzungsorgane wird in seiner Gesamtheit als Vulva oder Scham bezeichnet. Das ist ein ziemlich komplizierter Mechanismus, der wie Abb. 2 zeigt aus mehreren Teilen besteht, welche Labia majora (Grosse Schamlippen), Labia minora (Kleine Schamlippen), Mons Veneris (Schamberg), Clitoris (Kitzler), Perineum (Damm) und Vestibulum vaginae (Scheideneingang) genannt werden.</t>
  </si>
  <si>
    <t>MR7IKRNH</t>
  </si>
  <si>
    <t>20f</t>
  </si>
  <si>
    <t>Knapp oberhalb des Scheideneingangs befindet sich ein kleiner Vorsprung, der Clitoris oder Kitzler heisst und in gewisser Beziehung dem Penis oder Glied des Mannes entspricht beim Embryo dienen dieselben Zellen zum Aufbau des Penis bei einem Knaben, der Clitoris bei einem Mädchen. Gewöhnlich ist nur die Spitze der Clitoris sichtbar; die übrigen Teile des Organs sind im Gewebe der Vulva eingebettet. Es ist reichlich mit sehr empfindlichen Nervenenden versehen und ist für die Frau eine wichtige, obzwar nicht unbedingt die wichtigste Quelle erotischer Befriedigung. Knapp unterhalb der Clitoris liegt die Urethra oder Harnröhre, die den Harn aus der Blase nach aussen leitet</t>
  </si>
  <si>
    <t>94KAMWSC</t>
  </si>
  <si>
    <t>Leitfaden der Histologie des Menschen</t>
  </si>
  <si>
    <t>98JTFVUC</t>
  </si>
  <si>
    <t>91</t>
  </si>
  <si>
    <t>Der Kitzler (Clitoris) entspricht einem kleinen männlichen Glied. Die Schleimhaut der Glans clitoridis stammt vom Vestibulum vaginae; sie ist überaus reich an sensiblen Endkörperchen (siehe Sinnesorgane) und freien sensiblen Nervenfasern, die in dem mehrschichtigen Plattenepithel enden.</t>
  </si>
  <si>
    <t>STZBFWG5</t>
  </si>
  <si>
    <t>Einklang der Geschlechter: Sexuelle Fragen in unserer Zeit</t>
  </si>
  <si>
    <t>73ZIRMK4</t>
  </si>
  <si>
    <t>19</t>
  </si>
  <si>
    <t>Die viriloïde Intersexualität der Frau im Klimakterium. Sie tritt so häufig auf, daß sie als physiologisch betrachtet werden kann, solange sie diskret bleibt. Das verbreitetste Anzeichen dafür ist das Sprießen von Haaren im Gesicht und am Körper; die Stimme wird tiefer. Zudem prädisponiert das Klimakterium zu Neurosen und vorübergehenden Psychosen. Oft tritt eine Steigerung der sexuellen Libido ein, die sich in normalen Grenzen hält, aber auch zur Erotomanie werden kann. «Helene Deutsch behauptet, mehrfach nach dem Klimakterium eine Rückbildung der sexuellen Erregbarkeit von der Scheide bis zum Kitzler beobachtet zu haben 2.»ABSATZABSATZ[Fußnote:] 2 Marie Bonaparte: «La sexualité de la femme ». Presses universitaires de France. S. 15.</t>
  </si>
  <si>
    <t>XABKDI4R</t>
  </si>
  <si>
    <t>54</t>
  </si>
  <si>
    <t>Beim weiblichen Geschlecht ist die Onanie weniger verbreitet  und auch nicht von den gleichen Konsequenzen in affektiver  und ethischer Hinsicht begleitet. Übrigens beschränkt sie sich  häufig auf eine lustbetonte Reizung von Klitoris und Scheideneingang bei bestimmten körperlichen Übungen, wie etwa Tanzen, Reiten oder Radfahren.</t>
  </si>
  <si>
    <t>UGP4Z3NV</t>
  </si>
  <si>
    <t>74</t>
  </si>
  <si>
    <t>Zu allen seelischen Schwierigkeiten der Frau tritt  noch eine anatomische Eigentümlichkeit hinzu. Bei vielen  Frauen ist die erogene Zone, deren Reizung Lustempfindungen  auslöst und schließlich zum Orgasmus führt, auf die Klitoris  konzentriert. Erst nach und nach dehnt sie sich auf die Vagina  aus, und manchen Frauen bleibt der Vaginal-Spasmus ebenso  unbekannt wie das Wollustgefühl, das die Berührung der Eichel  mit der Portio vaginalis - den in die Scheide hineinragenden  Teil des Gebärmutterhalses hervorruft; die Reizzone bleibt  bei ihnen vielmehr auf Klitoris und Scheideneingang beschränkt.</t>
  </si>
  <si>
    <t>XVJ8FJ7N</t>
  </si>
  <si>
    <t>77</t>
  </si>
  <si>
    <t>Die Harnröhre der Frau ist bedeutend kürzer und weiter; vor  und über ihrer Einmündung in den Scheidenvorhof liegt die  eichelförmige Klitoris, auch Kitzler genannt. Dieses Organ, das  embryologische Gegenstück zum männlichen Glied, ist gleich  diesem in starkem Maße für lustauslösende Reize empfänglich  und ebenfalls im Innern mit Schwellgewebe durchsetzt, das sich  bei sexueller Erregung mit Blut füllt und die Klitoris anschwellen läßt, so daß sie sich vergrößert und versteift.</t>
  </si>
  <si>
    <t>XF6J43CW</t>
  </si>
  <si>
    <t>78</t>
  </si>
  <si>
    <t>Welche  Stellung auch eingenommen wird, immer erhöhen rythmische  Bewegungen die Wollust, die, vom Glied und von der Klitoris  ausgehend, bald in den ganzen Körper ausgestrahlt wird und  mit dem Orgasmus endet, der beim Mann die Ejakulation auslöst, bei der Frau den Spasmus der Scheidenmuskulatur und der  im Scheideneingang liegenden Drüsen, deren schleimige Absonderung schon zu Beginn der Vereinigung die Einführung  des Gliedes erleichtert hat.</t>
  </si>
  <si>
    <t>3AAG97NG</t>
  </si>
  <si>
    <t>79</t>
  </si>
  <si>
    <t>Erogene Zonen gibt es viele. Bei der Frau sind auf jeden Fall  Klitoris, Vulva, Vagina, der Muttermund manchmal, und die  Brüste reizempfindlich, wobei die Brustwarzen sich sogar versteifen können, beim Mann in erster Linie das Vorhautbändchen, der Hodensack, die Umgebung des Afters.</t>
  </si>
  <si>
    <t>7PU6N5NC</t>
  </si>
  <si>
    <t>81</t>
  </si>
  <si>
    <t>Die  körperlichen Reaktionen der Frau im Augenblick des Geschlechtsaktes weisen hingegen mehr Ähnlichkeit mit denen des  Mannes auf, als es zunächst scheint. Zu einer «Abschwellung&gt;&gt;  nach jenem dem Mann eigentümlichen Impuls, der ihn dazu  antreibt, den ausgelösten Reflex durch die Ejakulation zu beenden, kommt es zwar nicht, doch im übrigen sind auffallende  Ähnlichkeiten vorhanden: Erektion der Klitoris, die wie das  Glied anschwillt, der Hauptsitz der sexuellen Lustempfindungen; Absonderung eines schlüpfrigmachenden Schleims durch  die Bartholinischen Drüsen; schließlich der Orgasmus, der, wenn  er auftritt, nicht weniger intensiv ist als beim Mann.</t>
  </si>
  <si>
    <t>R62RQDDJ</t>
  </si>
  <si>
    <t>82</t>
  </si>
  <si>
    <t>Indessen ist der Schätzung nach bei nahezu der  Hälfte aller Frauen nur die Klitoris reizempfänglich, so daß bei  ihnen Orgasmus und Wollust nur durch diese erogene Zone  ausgelöst werden.</t>
  </si>
  <si>
    <t>PCVAAGBZ</t>
  </si>
  <si>
    <t>343</t>
  </si>
  <si>
    <t>Hermaphroditismus (Zwittertum): In sehr seltenen Fällen  kann man beobachten, daß sich parallel zweigeschlechtliche  anatomische Anlagen entwickeln. So gibt es Frauen mit übertrieben großer Klitoris (Kitzler), Männer mit stark entwickelten Brüsten, Frauen mit Bart usw. Derartige Abarten und  Mißbildungen wurden früher auf den Jahrmärkten zur Schau  gestellt.</t>
  </si>
  <si>
    <t>XBFWK4A8</t>
  </si>
  <si>
    <t>Anatomie und Physiologie: Lehrbuch f. ärztl. Hilfspersonal</t>
  </si>
  <si>
    <t>9PEZDFPF</t>
  </si>
  <si>
    <t>135</t>
  </si>
  <si>
    <t>A. Die äußeren Geschlechsorgane der Frau  Die großen Schamlippen (Labium majus pudendi).  Die kleinen Schamlippen (Labium minus pudendi).  Die Bartholinischen Drüsen.  Der Kitzler (Klitoris).  Der Scheidenvorhof (Vestibulum vaginae).</t>
  </si>
  <si>
    <t>Q2IQPSMZ</t>
  </si>
  <si>
    <t>136</t>
  </si>
  <si>
    <t>Die großen Schamlippen stellen zwei dicke Hautfalten dar, die aus der Symphysengegend (Mons pubis) in sagittaler Richtung nach dorsal verlaufen. Sie umschlieBen einen spaltförmigen Raum, in dem vorn der Kitzler (Clitoris) liegt. Der Kitzler besteht aus Schwellkörpergewebe. Aus der Clitorisgegend kommen zwei kleinere Hautfalten, die kleinen Schamlippen, die, ähnlich wie die großen, einen Raum  umgrenzen, den Scheidenvorhof.</t>
  </si>
  <si>
    <t>TX48IRE9</t>
  </si>
  <si>
    <t>Das Hausbuch der Gesundheit</t>
  </si>
  <si>
    <t>H7QPN5X8</t>
  </si>
  <si>
    <t>69</t>
  </si>
  <si>
    <t>Zwischen den beiden Schamlippenpaaren findet sich ein Reizorgan, das während der Erregung anschwillt und für deren Steigerung von Bedeutung ist: die sogenannte Klitoris; dort mündet auch die Harnröhre.</t>
  </si>
  <si>
    <t>FANGNIDB</t>
  </si>
  <si>
    <t>Dein Teil am Leben: Die Sexualethik e. Arztes</t>
  </si>
  <si>
    <t>JEN8C3KF</t>
  </si>
  <si>
    <t>5</t>
  </si>
  <si>
    <t>Werden  die Großen Schamlippen gespreizt, so werden darunter  die Kleinen Schamlippen sichtbar, die sich vorn an der  Klitoris (Kitzler) treffen, dem in der Regel sexuell empfindlichsten Organ des Weibes. Sie entspricht in ihrem Bau  dem männlichen Glied und kann auch in Erektion kommen, die aber sehr gering ist, so daß sie fast nicht auffällt.</t>
  </si>
  <si>
    <t>PMPLBDGC</t>
  </si>
  <si>
    <t>113</t>
  </si>
  <si>
    <t>In der Regel sollte  dem Geschlechtsverkehr eine Vorbereitung voraufgehen.  Sie besteht in Liebkosungen aller Art, vor allem in liebkosenden Berührungen der sogenannten erogenen Zonen  (das sind Körperzonen, deren Berührung geschlechtliche  Erregung auslöst, hauptsächlich Brustwarze und Mund, beim  Weibe die Klitoris und beim Manne das Glied). Während  der Geschlechtsgemeinschaft kann sich die Erregbarkeit bei  zunehmender Spannung auf weitere Regionen, schließlich  auf den ganzen Körper ausdehnen.</t>
  </si>
  <si>
    <t>E8UZSS9N</t>
  </si>
  <si>
    <t>117</t>
  </si>
  <si>
    <t>Die Seitenlage, in der der Mann hinter der Frau liegt,  also mit seinem Leib ihren Rücken berührt.  Diese Lage schafft der Frau außerordentlich wenig Ermüdung und empfiehlt sich daher bei Schwächezuständen  sowie in den letzten Monaten der Schwangerschaft, da  hierbei kein Druck auf die Gebärmutter ausgeübt wird.  Sie hat den Nachteil, daß die Frau den Mann nicht sieht,  ihn während der Vereinigung nicht liebkosen und im  Augenblick des Höhepunktes nicht fest umarmen kann  In ihr kann die Frau freilich leichter zur Erreichung  des Höhepunktes geführt werden, da der Mann ohne  Mühe imstande ist, mit dem Finger die Klitoris zu berühren, die in dieser Lage übrigens relativ benachteiligt  ist.</t>
  </si>
  <si>
    <t>2JCQETD9</t>
  </si>
  <si>
    <t>117f</t>
  </si>
  <si>
    <t>Es sind in letzter Zeit übrigens Zweifel entstanden, ob das Scheideninnere wirklich zu den erogenen (also geschlechtlich erregbaren) Zonen gehört. Bis dahin nahm man an, daß zunächst hauptsächlich die Klitoris geschlechtlich erregbar sei und daß sich die Erregbarkeit bei regelmäßigem Geschlechtsverkehr später auf das Scheideninnere ausdehne. In eingehenden Untersuchungen ist nun jedoch der Nachweis erbracht worden, daß die Scheide zum größten Teil nicht mit Reiznerven ausgestattet ist; diese finden sich lediglich an der Vorderseite der Scheide in der Gegend der Harnröhre. Infolgedessen ist es verkehrt, die Erregbarkeit der Klitoris nur als Beginnstadium zu betrachten; sie bleibt demnach ständig von entscheidender Bedeutung für die Geschlechtsgemeinschaft. Daß bei den verschiedenen Lagen die geschlechtliche Erregung jeweils anders empfunden wird, beruht demnach auf der Verschiedenartigkeit der Berührung mit der Klitoris.</t>
  </si>
  <si>
    <t>LLVDB2RJ</t>
  </si>
  <si>
    <t>118</t>
  </si>
  <si>
    <t>Es ist noch zu bemerken, daß die kleinen Schamlippen  gegen den oberen Ansatz zu mitunter etwas verklebt sind.  Wenn man sie ein wenig auseinanderschiebt, ist die Klitoris  wieder bequem zugänglich.</t>
  </si>
  <si>
    <t>55E5ABJV</t>
  </si>
  <si>
    <t>Lehrbuch der Anatomie des Menschen</t>
  </si>
  <si>
    <t>PM5DEKYT</t>
  </si>
  <si>
    <t>290</t>
  </si>
  <si>
    <t>Die Geschlechtsspalte  bildet sich in der Mittellinie des unpaaren Geschlechtshöckers (Tuber genitale oder Phallus), sie wird flankiert von den Geschlechtsjalten. Das vordere Ende verdickt sich und wird zur Glans oder zur Clitoris.</t>
  </si>
  <si>
    <t>NS32JHG3</t>
  </si>
  <si>
    <t>292</t>
  </si>
  <si>
    <t>Beim weiblichen Geschlecht (Abb. 218a, b) wird der Geschlechtshöcker zur Klitoris, die Geschlechtsfalten bilden die kleinen Schamlippen und die Geschlechtswülste lassen die großen Schamlippen aus sich hervorgehen.</t>
  </si>
  <si>
    <t>PC9MJBKI</t>
  </si>
  <si>
    <t>336</t>
  </si>
  <si>
    <t>Die Clitoris, die ein Analogon des Penis darstellt und erektil ist, wird am unteren Symphysenrand durch das Lig. suspensorium clitoridis aufgehängt. Sie entsteht aus der Verschmelzung der beiden Crura clitoridis, die als Schwellkörper vom unteren Rand der absteigenden Schambeinäste herkommen und im Orgasmus anschwellen. Die Crura vereinigen sich in der Mitte zum Corpus clitoridis und entsprechen den Schwellkörpern des Penis. Die vorderen Enden der kleinen Schamlippen umschließen als Hautfalte die Klitoris, indem sie auf deren Rücken das Preputium clitoridis bilden, das nur die Eichel des Kitzlers, Glans clitoridis, hervorschauen läßt, während sie sich unterhalb der Klitoris zum Frenulum clitoridis  vereinigen (Abb. 251).</t>
  </si>
  <si>
    <t>KLBZU6JN</t>
  </si>
  <si>
    <t>Die Klitoris kann bei Pseudohermaphroditismus femininus ext. der Größe eines männlichen Penis nahekommen.  Die Schleimhaut des Kitzlers ist infolge ihres Nervenreichtums sehr empfindlich. An besonderen Nervenendungen finden sich Genitalnervenkörperchen,  MEISSNERSChe Tastkörperchen und VATER-PACINISche Körperchen.</t>
  </si>
  <si>
    <t>J97IC69X</t>
  </si>
  <si>
    <t>337</t>
  </si>
  <si>
    <t>Unterhalb der Klitoris findet sich die Harnröhrenmündung, Ostium urethrae  externum, die rundlich oder geschlitzt ist und verschieden weit sein kann.</t>
  </si>
  <si>
    <t>QZ67NGM8</t>
  </si>
  <si>
    <t>Die größte Drüse des Scheidenvorhofs ist die Glandula vestibularis major (BARTHOLINI) (Abb. 233). Ihr Körper, der etwa bohnengroß ist, liegt an der Basis der kleinen Schamlippen auf dem M. transversus perinei und grenzt an die stumpfen Enden der Schwellkörper des Vorhofs. D</t>
  </si>
  <si>
    <t>2HEDJWJ9</t>
  </si>
  <si>
    <t>Zu beiden Seiten des Scheidenvorhofs liegen an der Basis der kleinen Schamlippen die Schwellkörper des Vorhofs, Bulbi vestibuli. Während die Schwellkörper der Klitoris den Schwellkörpern des Penis entsprechen, bilden die Bulbi vestibuli das Gegenstück zu dem Corpus spongiosum penis des Mannes. Denken wir uns die Harnröhre des Mannes von unten her aufgeschlitzt und weit auseinandergedrängt, dann ist der Sinus urogenitalis wieder eröffnet und die Schwellkörper geraten in eine ähnliche Lage wie bei der Frau. Die paarigen Bulbi vestibuli sind am dorsalen Ende keulenförmig verdickt und verjüngen sich ventral, um sich über die Harnröhrenmündung hinweg mit kleinen Venengeflechten an der Glans clitoridis zu verbinden (Abb. 233).</t>
  </si>
  <si>
    <t>3KX3L8I5</t>
  </si>
  <si>
    <t>Die Bulbi vestibuli bestehen aus venösen Netzen, die durch Bindegewebe mit  einigen glatten Muskelzellen zusammengehalten werden und außen eine dünne Bindegewebshülle besitzen. Die Venen sind zum Teil kavernös erweitert und bilden bei ihrer Füllung weich  geschwellte Kissen, die den Scheideneingang auspolstern. Eine steife Erektion findet ebensowenig statt wie bei den entsprechenden Schwellkörpern der Harnröhre des Mannes.</t>
  </si>
  <si>
    <t>HKLQ29ZI</t>
  </si>
  <si>
    <t>338</t>
  </si>
  <si>
    <t>Aus der A. pudenda int. gehen die Rr. labiales zu den kleinen Schamlippen, die A. bulbi vestibuli zum Bulbus vestibuli, die A. profunda clitoridis zum Crus clitoridis und die A. dorsalis clitoridis zur Glans clitoridis. Die V. dorsalis  clitoridis nimmt das Blut der Glans und des Corpus clitoridis auf. Der Bulbus vestibuli schickt seine Venen zu dem Plexus venosus uterinus et vaginalis, zum Teil in die Venae obturatoriae, außerdem bestehen Verbindungen zu den übrigen Venen der äußeren Geschlechtsorgane.</t>
  </si>
  <si>
    <t>EIS9KJPB</t>
  </si>
  <si>
    <t>Ein N. dorsalis clitoridis gelangt auf den Rücken der Klitoris.</t>
  </si>
  <si>
    <t>7WJR7XGM</t>
  </si>
  <si>
    <t>339</t>
  </si>
  <si>
    <t>Der äußere Schließmuskel der Urethra, M. sphincter urethrae, bleibt im Niveau des Diaphragma urogenitale, und der M. ischiocavernosus hat eine Sonderaufgabe für den Schwellkörper des Penis bzw. der Klitoris.</t>
  </si>
  <si>
    <t>XK4Z7VTT</t>
  </si>
  <si>
    <t>341</t>
  </si>
  <si>
    <t>Das Diaphragma ist durchsetzt mit glatten Muskelfasern und enthält reichlich Bindegewebe, das sich an der äußeren und inneren Oberfläche zur Fascia diaphragmatis urogenitalis superior und inferior verdichtet. Gegen die Symphyse hin gehen die Faszien in ein Lig. puboprostaticum (pubovesicale) über, das in bogenförmigem Verlauf am unteren Symphysenrand unter der Vena dorsalis penis (bzw. clitoridis) subfascialis verläuft.</t>
  </si>
  <si>
    <t>5YF7WST8</t>
  </si>
  <si>
    <t>342</t>
  </si>
  <si>
    <t>Der M. bulbocavernosus der Frau (Abb. 253) bietet primitivere Verhältnisse als beim Mann, da er die Scheide umschnürt und hierin dem Sphincter cloacae nahesteht. Er bildet ein plattes Muskelband, das auf dem Bulbus vestibuli liegt, vorn und hinten sind die Züge durch eine Raphe unterbrochen.</t>
  </si>
  <si>
    <t>TP4GTX4S</t>
  </si>
  <si>
    <t>Der M. ischiocavernosus bedeckt die paarigen Schwellkörper, die als Crura penis bzw. als Crura clitoridis an die unteren Schambeinäste angeheftet sind.</t>
  </si>
  <si>
    <t>LK8TMFNU</t>
  </si>
  <si>
    <t>Der Muskel [M. ischiocavernosus] übt eine schnürende Wirkung auf den Scheideneingang aus und hieß daher früher M. constrictor cunni. Inwieweit er den Füllungszustand des bedeckten Schwellkörpers beeinflußt, an den auch Fasern ansetzen, ist unbekannt.</t>
  </si>
  <si>
    <t>MUI4PEPF</t>
  </si>
  <si>
    <t>Der M. ischiocavernosus der Frau ist bedeutend kleiner und vorwiegend sehnig. Nur in der Nähe des Ursprungs ist er noch fleischig. Auch er kann das Blut im Schwellkörper nach vorn zur Eichel hintreiben.</t>
  </si>
  <si>
    <t>VZTM4U6P</t>
  </si>
  <si>
    <t>Menschen auf Abwegen: Die Homosexualität d. Mannes u.d. Frau</t>
  </si>
  <si>
    <t>F6968E2G</t>
  </si>
  <si>
    <t>90</t>
  </si>
  <si>
    <t>Männliche  Hormone können bei Frauen das Wachsen eines Bartes  verursachen und sogar die Klitoris vergrößern, aber sie  müssen keine lesbischen Tendenzen hervorrufen.</t>
  </si>
  <si>
    <t>45ZESM9S</t>
  </si>
  <si>
    <t>110</t>
  </si>
  <si>
    <t>[Kontext: Die klitorale(/genitale) Phase] Der Junge entdeckt, daß sein Penis ebenso zu einer Quelle von Lustgefühlen werden kann wie Mund und After. Das Mädchen macht eine ähnliche Feststellung, denn sie findet etwas, das tatsächlich einem Penis en miniature entspricht. Bei einem Mädchen besteht kindliche Onanie in einem Stimulieren der Klitoris.</t>
  </si>
  <si>
    <t>AKLJVNXS</t>
  </si>
  <si>
    <t>110f</t>
  </si>
  <si>
    <t>[Kontext: Die klitorale Phase] In diesem Alter hat es an der Vagina kein besonderes Interesse. Sie erscheint bedeutungslos, bis das Mädchen erkennt, wie verschieden ein Junge gebaut ist. Wenn es zum erstenmal einen männlichen Penis sieht, wird es wahrscheinlich bestürzt den Vergleich mit seinen eigenen, scheinbar unreifen Geschlechtsteilen ziehen.ABSATZEs gibt Beweise, daß ein derartiger Schock sehr häufig ist und von phantastischen Versuchen, diese Verschiedenheit zu erklären, begleitet wird. Die spontane Reaktion des Mädchens ist ein Gefühl der Minderwertigkeit, weil ihm etwas fehlt, das die Jungen besitzen. In diesem Neid ist übrigens die Wurzel der Inferioritätsgefühle zu suchen, die später oft die Beziehungen zwischen den Geschlechtern erschweren.</t>
  </si>
  <si>
    <t>PZRXYBVW</t>
  </si>
  <si>
    <t>111</t>
  </si>
  <si>
    <t>[Kontext: Die klitorale Phase] Die einfachste Erklärung für das Fehlen eines Penis ist die, daß er abgeschnitten wurde. Die Vagina, die sonst keinen Sinn zu haben scheint, kann so als Kastrationswunde erklärt werden.</t>
  </si>
  <si>
    <t>6P9TY2IU</t>
  </si>
  <si>
    <t>[Kontext: Die klitorale Phase] [...] ob er [der Junge] homosexuell oder heterosexuell wird - jedenfalls wird er seine sexuelle Befriedigung im wesentlichen durch den Penis finden. Ganz anders verhält es sich bei einem Mädchen; es muß erst die Lustgefühle entdecken, die ihm die Vagina vermitteln kann. Daher erfolgt seine sexuelle Entwicklung in zwei Phasen: der klitoralen und der vaginalen.</t>
  </si>
  <si>
    <t>Q234XN3R</t>
  </si>
  <si>
    <t>111f</t>
  </si>
  <si>
    <t>[Kontext: Die klitorale Phase] Einige Psychologen vermuten, daß ein zu langes Verharren im klitoralen Stadium eine Ursache der weiblichen Homosexualität sein könnte. Solange das Mädchen seine Klitoris als wenn auch rudimentären - Penis ansieht, muß seine Einstellung maskulin sein. Es wird wilde Bubenspiele bevorzugen und zu einem burschikosen Mädchen werden. Diese Eigenschaften können sich auch nach der Pubertät erhalten. Wird der Mutterinstinkt, der in das vaginale Stadium überleitet, nicht geweckt, so bleiben die typisch weiblichen Charaktermerkmale aus. Wenn das Mädchen die rauhen Jungenspiele sein läßt und sich den Puppen zuwendet, wird ihre Einstellung weicher.</t>
  </si>
  <si>
    <t>XFWANMT9</t>
  </si>
  <si>
    <t>112</t>
  </si>
  <si>
    <t>[Kontext: Die klitorale Phase] Das Problem des Penisneides wird allmählich von dem Wunsch nach Eindringen des Penis abgelöst werden. Damit gelangt die Frau auf eine andere Art in den Besitz eines Penis - obwohl sie unbewußt den Mann kastriert und ihm seinen Penis nimmt. Wenn das Mädchen aus irgendeinem Grund diese Lösung nicht zustande bringt, wird die dem klitoralen Stadium entsprechende männliche Rolle nicht abgelegt. Es wird wahrscheinlich die übertrieben starke Bindung an die Mutter während der Ödipusphase beibehalten, weil es psychologisch ein Junge ist. 2 Es hat daher das gleiche Verhältnis zur Mutter wie ein Sohn. Während die sexuellen Triebe stärker werden, bleiben sie immer noch auf die Mutter konzentriert. Wenn die Möglichkeit einer Sublimierung besteht, ist damit kein Schaden angerichtet. Das Mädchen wird in diesem Fall wahrscheinlich zu einer beruflich ehrgeizigen und erfolgreichen Frau werden. Aber wenn ihr Charakter nicht stark genug ist, den Trieb zu sublimieren, kann sie neigungsmäßig, wenn auch vielleicht nicht in der Praxis, zur Lesbierin werden.</t>
  </si>
  <si>
    <t>YWJ27QWX</t>
  </si>
  <si>
    <t>Beide Geschlechter müssen die Krise der Ödipussituation bewältigen, aber das Mädchen  hat zusätzliche Probleme zu lösen. Es muß lernen zu verstehen, daß es nicht ein kastrierter Junge ist. Es muß die  männliche Einstellung der klitoralen Phase ablegen und  sich weiblichen Zielen zuwenden.</t>
  </si>
  <si>
    <t>L9WPE6GS</t>
  </si>
  <si>
    <t>113f</t>
  </si>
  <si>
    <t>Der mächtige Muttertrieb kann verhindern, daß sich eine derartige Einstellung verhärtet, aber ohne ihn wird die normale sexuelle Entwicklung aufgehalten. Die Bindung zur Mutter kann gelöst werden, aber als neues Liebesobjekt wird ein Mutterersatz gewählt - eine andere Frau, nicht ein Mann. Wenn die Beziehung auch zu körperlichen Intimitäten führt - es ist dies keineswegs immer der Fall -, werden die frühesten Phasen infantiler Sexualität wiedererweckt, in denen die Lustgefühle nicht in der Vagina, sondern in anderen Körperteilen gesucht wurden: eine Rückkehr zu oraler Berührung und Stimulierung der Klitoris.</t>
  </si>
  <si>
    <t>GUVJJKEK</t>
  </si>
  <si>
    <t>115</t>
  </si>
  <si>
    <t>Hier einige Situationen, die zur Homosexualität führen  können:  1. Das Verharren in der klitoralen Phase und das Beibehalten des Penisneides können eine emotionelle Bindung an den Vater verhindern. Daher entwickelt sich  wie beim Jungen eine starke Bindung an die Mutter.</t>
  </si>
  <si>
    <t>JDB8DLLV</t>
  </si>
  <si>
    <t>Abgesehen von den Sexualhormonen bestehen deutliche organische Ähnlichkeiten [zwischen Mann und Frau], z. B. der rudimentäre Penis, der bei manchen Frauen klar erkenntlich ist.</t>
  </si>
  <si>
    <t>GQX8X7A4</t>
  </si>
  <si>
    <t>Beschreibende und funktionelle Anatomie des Menschen</t>
  </si>
  <si>
    <t>Q8F7XCLT</t>
  </si>
  <si>
    <t>B. bei der Frau: 1. die äußeren Geschlechtsorgane == große Schamlippen (Labia majora pudendi), kleine Schamlippen (Labia minora pudendi), Kitzler (Clitoris), BARTHOLINsche Drüsen und Scheidenvorhof (Vestibulum vaginae);</t>
  </si>
  <si>
    <t>8CT4VIK6</t>
  </si>
  <si>
    <t>Kent's Repertorium der homöopathischen Arzneimittel</t>
  </si>
  <si>
    <t>8CCGMD2N</t>
  </si>
  <si>
    <t>758</t>
  </si>
  <si>
    <t>Reizung: Agar., Am-c., Bry., Calc., Canth., Carb-v., Con., Dulc., Graph., Hep., Kali-br., Kreos., Lyc., Merc., Nat-m., Nit-ac., Nux-v., Orig., Phos., Plat., Puls., Sep., Sil., Sulf.ABSATZABSATZ[Listenelement] Clitoris: Am-c. [Ammonium carbonicum]</t>
  </si>
  <si>
    <t>4FMYCNS5</t>
  </si>
  <si>
    <t>801</t>
  </si>
  <si>
    <t>STECHENDER, fein st. Schmerz14; Apis, Ars., Berb., Calc-p., Carb-v., Eupi., Kali-c., Kreos., Lil-t., Lyc., Phos., Puls., Sabin., Sep., Staph., Urt-u., Zinc.ABSATZABSATZ[...]ABSATZABSATZABSATZ[Listenelement] Vulva, Clitoris: Bor. [Borax veneta]ABSATZ[Tab] nachts: Bor. [Borax veneta]ABSATZ[Fußnote] 14 engl. stinging</t>
  </si>
  <si>
    <t>XMTBHP52</t>
  </si>
  <si>
    <t>801f</t>
  </si>
  <si>
    <t>STECHENDER, scharf st. Schmerz15; Alum., Ars., Aur., Bell., Bor., Calc., Calc-p., Caust., Coc-c., Con., Croc., Glon., Graph., Ign., Kali-c., Lac-c., Meli., Merc., Murx., Nat-s., Nit-ac., Pall., Phos., Rhus-t., Sep., Staph., Sulf-ac., Tarant., Thuj.ABSATZ[Fußnote] 15 engl. stitchingABSATZ[...]ABSATZABSATZ[Listenelement] Vulva, zwischen den Labien: Eupi. ABSATZ[Tab] Clitoris, nachts: Bor. [Borax veneta]</t>
  </si>
  <si>
    <t>T7N2ZT7H</t>
  </si>
  <si>
    <t>Gesundheitsbuch für die Familie</t>
  </si>
  <si>
    <t>4TCA4KJH</t>
  </si>
  <si>
    <t>837</t>
  </si>
  <si>
    <t>[Verlaufsform (der weiblichen Liebes-Unfähigkeit (Impotenz)):]ABSATZ2 FrigiditätABSATZGefühlskälteABSATZABSATZABSATZ[Definition:]ABSATZABSATZ21 Es besteht Geschlechts-TriebABSATZ22 Jedoch kann der Lustrausch nicht erlebt werden (Clitoris und andere sexuelle Sinnes-Organe nicht ausreichend erregbar [Clitoridale Impotenz])</t>
  </si>
  <si>
    <t>J2UIXLBL</t>
  </si>
  <si>
    <t>[Verlaufsform (der weiblichen Liebes-Unfähigkeit (Impotenz)):]ABSATZABSATZ3 DyspareunieABSATZABSATZABSATZ[Definition:]ABSATZ31 Es besteht Geschlechts-TriebABSATZ32 Orgasmus-Fähigkeit bei starker Reizung der Clitoris vorhandenABSATZ33 Reizung der Scheide bringt kein Lusterlebnis (Vaginale Impotenz)</t>
  </si>
  <si>
    <t>QGWW9XL3</t>
  </si>
  <si>
    <t>[Kontext: Heilplan bei weiblicher Liebes-Unfähigkeit, Punkt 2 Reform des ehelichen Geschlechts-Lebens]ABSATZ24 Nur Coitus-Techniken anwenden, bei denen jede Reizung der Clitoris unterbleibt. Clitoris-Reizung macht frigide, erzieht zu vaginaler Impotenz!</t>
  </si>
  <si>
    <t>LK5E9GDS</t>
  </si>
  <si>
    <t>[Kontext: Ursachen der weiblichen Liebes-Unfähigkeit, Befund 9 Falsche Coitus-Technik]ABSATZ91 Gattin verlangt nach aktiver Rolle beim Coitus (Reithaltung), weil in anderen Lagen Clitorisreiz ungenügend ist. Überhaupt: Die dem Gatten gewohnte Routine wird abgelehnt, Abwechslungs-Verlangen!</t>
  </si>
  <si>
    <t>5QGKNZRV</t>
  </si>
  <si>
    <t>857</t>
  </si>
  <si>
    <t>Lendan Wicke) (oder auch Bauch-Wickel) heiß (Dauer eine Stunde). Dem Wickelwasser sind betrufMkonzentrierte Abkochungen von  Elcheninde (CortexQuercus Majoran-Kaut (Herba Majoranae) C Melasen Kieut (Herba Melissa)  b Kamiller-Ben(Flores Camomile) E Schalparben-Kraut (Herba MiDelol)  Evtalvetus-Bianer (olia Eucalyp Brenner-Kreut perba Unicas) AmikaButen (Flores Armicae) Die genannten Oragen können einzeln und abwechselnd oder aber auch in beliebiger Mischung bipelugt werden Aratelle der Tee-Abkochungen können auch Tinkturen vaw. (1-2 Teelöffel ja Liter  Wissendung finden.Außerdem sind geeignet  Sol Bad (Sone! K Moer-Bad(Seite 124)  LwellereArznei-Bader nach Spalte 75 In Selle 1171</t>
  </si>
  <si>
    <t>W6K22MEC</t>
  </si>
  <si>
    <t>Die vier Schlüssel zum beglückenden Liebesleben</t>
  </si>
  <si>
    <t>Q82NA2MX</t>
  </si>
  <si>
    <t>30</t>
  </si>
  <si>
    <t>Die weibliche Geschlechtsvorrichtung besteht aus den beiden  Eierstöcken, den beiden dazugehörigen Eileitern, der Gebärmutter, der Scheide und den Schleimdrüsen der Frau, glandulae vestibulares majores genannt, und weiterhin aus den  äußeren Geschlechtsteilen, den kleinen Schamlippen, den groBen Schamlippen, dem Kitzler oder der Clitoris, sowie dem  Damm.</t>
  </si>
  <si>
    <t>C2IHFVCJ</t>
  </si>
  <si>
    <t>34</t>
  </si>
  <si>
    <t>Die Vagina erweitert sich nach außen zum sogenannten  Introitus, zum Scheideneingang, dessen Fortsetzung die kleinen Schamlippen darstellen. Diese sind lappenähnliche Gebilde von stark unterschiedlicher Größe, Dicke und Länge. Sie  sind ebenso wie die großen Schamlippen mit Schwellkörpern  Iversehen, so daß sie bei geschlechtlicher Erregung stark rot,  heiß und prall werden können. Dies trifft auch für die grossen Schamlippen zu, die zwischen den Schenkeln liegende  Haut- und Fettpolster darstellen und die die kleinen Schamlippen meist fest umschließen.</t>
  </si>
  <si>
    <t>9YIRTA4Z</t>
  </si>
  <si>
    <t>35</t>
  </si>
  <si>
    <t>Dort, wo nach oben hin die kleinen Schamlippen zusammentreffen sitzt die Clitoris,, auch Kitzler genannt. Diesem  Organ kommt für die Lustlösung der Frau eine überaus  große Bedeutung zu. Denn entwicklungsgeschichtlich entspricht sie dem männlichen Penis, d. h. sie ist mit einem  Schwellkörper ausgestattet, daher in der Lage zu erigieren;  sie besitzt einen Kopf (Clitoriskopf oder glans clitoridis genannt) und wird von einer Hautfalte, die der Vorhaut des  Mannes entspricht, umgeben.</t>
  </si>
  <si>
    <t>3DY8GXEB</t>
  </si>
  <si>
    <t>Das Wichtigste aber ist, daß  der Clitoriskopf ebenso wie die glans penis reich mit Wolllustgefühlskörperchen ausgestattet ist, so daß in der Clitoris  das Schlüsselorgan für die weibliche Befriedigung beim Geschlechtsakt zu erblicken ist.</t>
  </si>
  <si>
    <t>SX3HS7AL</t>
  </si>
  <si>
    <t>Die Größe der Clitoris ist sehr  unterschiedlich; sie schwankt zwischen einer solchen, die mit  der Fingerspitze kaum fühlbar ist, und Größen von mehreren Zentimetern. Im erigierten Zustand ist das Organ etwa  doppelt so groß als im Zustand der Erschlaffung.</t>
  </si>
  <si>
    <t>U5ZML536</t>
  </si>
  <si>
    <t>Meist wird ein Zungenspiel um die Clitoris von jeder Frau als besonders erregend empfunden. Der Reiz ist häufig stark genug, um die Erregungskurve ziemlich steil in die Höhe zu leiten, aber nicht genügend stark, um befürchten zu lassen, daß dieses Spiel den Orgasmus herbeiführen könnte. Bei empfindungsärmeren Frauen wird allerdings eine Clitorisreizung mit Hilfe der Hand, das heißt eines Fingers angebracht.</t>
  </si>
  <si>
    <t>SY5REWCH</t>
  </si>
  <si>
    <t>125</t>
  </si>
  <si>
    <t>Je nachdem, um welche  Stellungsart es sich handelt, dringt der Phallos tiefer oder weniger tief in die Scheide ein, berührt sein Schaft ihre Vorderwand intensiver als ihre Hinterwand oder umgekehrt und  wird beim Verkehr die Clitoris seinen Berührungsreiz mehr  oder weniger ausgesetzt.</t>
  </si>
  <si>
    <t>K7SYAM33</t>
  </si>
  <si>
    <t>132</t>
  </si>
  <si>
    <t>4. Steinschnittlage  Wieder eine Positio obversa, bei der die Frau wie in der  Normallage flach auf dem Rücken liegt. Die Schenkel sind  abgewinkelt und weit geöffnet. Der Mann liegt beinahe gestreckt zwischen den Schenkeln der Frau, leicht auf den Knien  aufgestützt, zur Stützung des Oberkörpers nicht die Ellbogen, sondern die Hände benützend. Die Arme sind leicht angewinkelt. Die Bewegungsfreiheit der Frau ist gering, die  des Mannes nur mäßig beeinträchtigt, die Befruchtungschancen sind sehr günstig. Der Vorteil dieser Stellung liegt in  der Tatsache, daß sich die Verschmelzung der Geschlechter  in einem nahezu vollkommenen Maß vollzieht. Es finden  Reibereize nicht nur innerhalb der Scheide, sondern auch an  den Labien und der Clitoris statt.</t>
  </si>
  <si>
    <t>C8LAQHBD</t>
  </si>
  <si>
    <t>137</t>
  </si>
  <si>
    <t>[Kontext:]ABSATZ10. BauchlageABSATZBei dieser Stellung handelt es sich um die erste Positio aversa, die wir besprechen, also um die erste Lage, bei der der Vorderseite des Mannes die Rückseite der Frau zugekehrt ist. Die Frau liegt bei dieser Stellung auf dem Bauch, dabei ist unter ihr Becken ein Stützkissen geschoben. Das Becken ist weit emporgereckt, wobei sie sich leicht auf den Knien aufstützen kann. Ihre Beine sind geschlossen, der Gatte liegt auf ihrem Rücken und stützt sich mit Knien und Händen. Seine geöffneten Schenkel umfangen die geschlossenen Schenkel der Frau.ABSATZ[...]ABSATZABSATZDie Möglichkeit des Austausches von Zärtlichkeiten ist gegeben. ebenso wie für den Mann bei fast allen Lagen, bei denen ihm die Gattin ihren Rücken zukehrt, die Möglichkeit besteht, während der Coitusbewegungen die Clitoris durch manuelle Manipulationen zu reizen und damit beizutragen, daß seine Frau den Orgasmus mit ihm gleichzeitig erlebt.</t>
  </si>
  <si>
    <t>PUCXMGYZ</t>
  </si>
  <si>
    <t>153</t>
  </si>
  <si>
    <t>Es gibt allerdings viele Ehefrauen, die selbst beim gekonntesten und kontrolliertesten Liebesakt des Mannes und bei  all seiner Einstellung, auch sie, die Frau, müsse den Höhepunkt erleben, durch den normalen Coitus nicht zur Lustlösung geführt werden können. Es sind Frauen, deren Lustlösung ausschließlich auf die Clitoris lokalisiert ist und die  nur durch eine kontinuierliche Clitorisreizung den Höhepunkt erreichen können. Das heißt nicht, daß sie nicht beim  Akt zu genießen fähig wären; nur reicht ihr Empfinden, trotz  aller Mühe und Anstrengungen von beiden Seiten, niemals  aus, auf diese Weise den Orgasmus auszulösen. In diesen Fällen kommt dem Mann die Pflicht zu, die Frau nach seinem  eigenen Orgasmus manuell oder linguell an der Clitoris solange in liebevoller Umarmung zu reizen, bis sie durch diese  Reizung der Lustlösung zugeführt wird. Ich betonte bereits  einmal, daß diese Maßnahme sogar seitens der katholischen  Moraltheologie als zulässig angesehen wird.</t>
  </si>
  <si>
    <t>P6MMC6BZ</t>
  </si>
  <si>
    <t>Handbuch der Haut- und Geschlechtskrankheiten</t>
  </si>
  <si>
    <t>P6MXQMDW</t>
  </si>
  <si>
    <t>161</t>
  </si>
  <si>
    <t>[Kontext: Die XO-Gonadendysgenesie (Turner-Syndrom)]ABSATZABSATZAuch die Vulva und Clitoris sind meist hypoplastisch. Einzelne Fälle mit Gonadendysgenesie haben aber auch eine Klitorishypertrophie (MEYER 1925; BAER 1927; PICH 1936; GUINET u. Mitarb. 1954; GRUMBACH u. Mitarb. 1955; GORDAN u. Mitarb. 1955; STANGE u. Mitarb. 1957). Man vermutet, daß nicht die Gonaden, sondern die Nebennieren diese Hypertrophie auslösen (HAUSER 1960). Zumindest sind die 17-Ketosteroide bei diesen Patientinnen normal und nicht wie sonst bei der Gonadendysgenesie erniedrigt.</t>
  </si>
  <si>
    <t>4BZQSBPT</t>
  </si>
  <si>
    <t>Bau und Funktionen des menschlichen Körpers: Einführung in d. Anatomie u. Physiologie d. Menschen f. Hörer aller Fakultäten u.f. ärztl. Hilfskräfte</t>
  </si>
  <si>
    <t>MF3QK94J</t>
  </si>
  <si>
    <t>Beide [kleinen] Schamlippen laufen bauchwärts in zwei kleine Falten aus, die sich in der Mitte an der Stelle des Kitzlers (Clitoris) treffen. Dieser ist ein echter Schwellkörper und das Gegenstück zum Penisschwellkörper.</t>
  </si>
  <si>
    <t>FRAK6SZ4</t>
  </si>
  <si>
    <t>Liebe und Hunger: Die Urtriebe im Licht d. Zukunft</t>
  </si>
  <si>
    <t>FY6UFJ64</t>
  </si>
  <si>
    <t>6</t>
  </si>
  <si>
    <t>Bei der liegenden Frau sieht man oberhalb des Scheideneinganges die Harnröhrenöffnung und darüber das sensible Reizorgan, den Kitzler (Clitoris).</t>
  </si>
  <si>
    <t>K9PE7T2R</t>
  </si>
  <si>
    <t>Das grosse Reader's Digest Gesundheitsbuch: Ein umfassendes Nachschlagewerk f. gesunde u. kranke Tage</t>
  </si>
  <si>
    <t>S2V4NDR3</t>
  </si>
  <si>
    <t>703</t>
  </si>
  <si>
    <t>Die kleinen Schamlippen umhüllen vorn den Kitzler (Klitoris).</t>
  </si>
  <si>
    <t>PBYPFVJW</t>
  </si>
  <si>
    <t>Die großen Schamlippen verschließen bei einer gesunden Frau, die noch nicht geboren  hat, den Eingang der Scheide. Sie stellen zwei Hautfalten dar, die mit Fett gut unterpolstert sind. Darunter befindet sich je ein sogenannter Schwellkörper, ein erweitertes  System des venösen Anteils des Blutkreislaufes. Durch starken Blutzufluß in diese  Schwellkörper werden die großen Schamlippen prall gespannt.</t>
  </si>
  <si>
    <t>QXET62GJ</t>
  </si>
  <si>
    <t>Unter den großen Schamlippen befinden sich die kleinen. Sie unterscheiden sich von den großen dadurch, daß  sie lediglich eine Hautfalte darstellen, ohne Fettpolsterung und ohne Schwellkörper. Sie sind daher nicht prall, sondern schlaff und beweglich. Ganz vorn umschließen sie, ein Häubchen bildend, den Kitzler. Dieser ist ein festerer, erbsengroßer Höcker, ein an Blutgefäßen und Nerven reicher Schwellkörper, und dient bei entsprechender  Reizung in ganz besonderem Maße der Erregung des Geschlechtsempfindens.</t>
  </si>
  <si>
    <t>L2JVNPVX</t>
  </si>
  <si>
    <t>708</t>
  </si>
  <si>
    <t>Es ist bekannt, daß allein schon die Berührung  zwischen Mann und Frau außerhalb des Genitales zum Geschlechtsreiz führen kann,  den endgültigen erregenden Reiz aber verursacht erst die Berührung des Kitzlers  (Klitoris). Er ist mit einem äußerst empfindlichen Nervensystem ausgestattet. Ist der  Kitzler einer gewissen Reizempfindung schon bei dem kleinen Mädchen fähig, so kommt  es zum vollen Empfindungsvermögen erst mit dem Eintritt der Geschlechtsreife.</t>
  </si>
  <si>
    <t>BFENA54U</t>
  </si>
  <si>
    <t>Durch den  Geschlechtsreiz füllen sich die Schwellkörper mit Blut. Da die Schwellkörper unter dem  Fettpolster der großen Schamlippen liegen, spannen sich diese und bilden damit einen  festen und begrenzten Eingang zum Genitale.</t>
  </si>
  <si>
    <t>5K653XDC</t>
  </si>
  <si>
    <t>722</t>
  </si>
  <si>
    <t>Bisweilen schon sehr frühzeitig und zunächst noch unbewußt findet das Kind dabei auch den besonderen Reiz der berührungsempfindlichen  Stellen der eigenen Geschlechtsgegend heraus. Es sind dies bei den Jungen die Eichel des männlichen Gliedes und bei den Mädchen hauptsächlich der Kitzler (Klitoris).</t>
  </si>
  <si>
    <t>6A7XUAGR</t>
  </si>
  <si>
    <t>794</t>
  </si>
  <si>
    <t>Krebsvorkommen im Bereiche des weiblichen Genitale  1. an Schamlippen und Kitzler Kleine Knoten oder Geschwüre mit derber Umgebung. Oft frühzeitiger Befall der Leistendrüsen.  Die Erkrankte verspürt meist Jucken, gelegentlich Schmerzen oder wird aufmerksam durch Blutungen.</t>
  </si>
  <si>
    <t>JFUC8MFI</t>
  </si>
  <si>
    <t>Handbuch der experimentellen Pharmakologie</t>
  </si>
  <si>
    <t>RFB4IRU6</t>
  </si>
  <si>
    <t>Das Wachstum der Clitoris und die Produktion  von Smegma wird überwiegend durch Androgeneinfluß gefördert.</t>
  </si>
  <si>
    <t>TKRTG36U</t>
  </si>
  <si>
    <t>Selbst hohe Dosen von exogen zugeführten Progesteron können bei normalem  Stoffwechsel keine Virilisierungserscheinungen an der Frau hervorrufen. Das  gleiche gilt für die übrigen Pregnenderivate. Dagegen können die gestagen wirksamen Derivate des Testosterons, wie z. B. das 17α-Äthinyltestosteron (Ethisteron), das Dimethisteron und das Normethandrolon nach längerer Einnahme eine Clitorishypertrophie und einen männlichen Behaarungstyp am äußeren Genitale zur Ausbildung bringen [67, 125, 271, 272].</t>
  </si>
  <si>
    <t>CJZQFQWE</t>
  </si>
  <si>
    <t>Unterrichtshilfen Biologie</t>
  </si>
  <si>
    <t>7GZMXFQ8</t>
  </si>
  <si>
    <t>168</t>
  </si>
  <si>
    <t>Weibliche Geschlechtsorgane innere äußere  Eierstöcke, Eileiter, Gebärmutter, Scheide  kleine Schamlippen, große Schamlippen</t>
  </si>
  <si>
    <t>G3DC7T9F</t>
  </si>
  <si>
    <t>Die Verteilung der gynäkologischen und morphologischen Befunde in verschiedenen Altersgruppen</t>
  </si>
  <si>
    <t>8B6CSMHB</t>
  </si>
  <si>
    <t>155</t>
  </si>
  <si>
    <t>IV d) Die nachfolgenden Tabellen zeigen den in den Kapiteln ( IV b ) erläuterten Diagnoseschlüssel in seiner Gesamtheit, wie er bei der vorliegenden Untersuchung benutzt worden ist. 100 Mißbildungen, Entwicklungsfehler, LageveränderungenABSATZ1o VulvaABSATZ11o Aplasie 111 Hypoplasie 112 113 Verdoppelung der Klitoris u.d. kleinen Labien (sog. Paranymphen ) 114 115 Cyste des Gartner, Wolffschen Ganges 116 Deszensus 117</t>
  </si>
  <si>
    <t>AWXZSI8C</t>
  </si>
  <si>
    <t>IPN-Einheitenbank Biologie</t>
  </si>
  <si>
    <t>T479AH87</t>
  </si>
  <si>
    <t>22</t>
  </si>
  <si>
    <t>[Kontext: Beispiel eines Lehrervortrags in einer Stunde zum Thema "Geschlechtsakt" für Schüler*innen der 5. und 6. Klassenstufe]ABSATZABSATZABSATZZwischen den beiden Geschlechtslippen der Mädchen ist oben ein kleines Organ, das man den Kitzler nennt. Wenn ein Mädchen seinen Kitzler oder seine Geschlechtslippen berührt und mit der Hand daran entlangstreicht, fühlt es genauso das Aufregende und Schöne, das ein Junge spürt, der sein festes Glied in die Hand nimmt. Beim Geschlechtsverkehr, wenn die Scheide das Geschlechtsglied um schließt, das sich in ihr hin und her bewegt, wird gleichzeitig dieses kleine Organ der Kitzler oben zwischen den Geschlechtslippen mitgereizt. Je mehr sich das Glied in der Scheide bewegt, umso stärker werden die Reizungen und das sexuelle Lustgefühl bei der Frau.</t>
  </si>
  <si>
    <t>6KUT8NA5</t>
  </si>
  <si>
    <t>Der menschliche Körper: photograph. Atlas d. Anatomie</t>
  </si>
  <si>
    <t>NX5UZKHU</t>
  </si>
  <si>
    <t>63</t>
  </si>
  <si>
    <t>Obwohl sehr verschieden in ihrer Größe müssen Penis und Clitoris als homologe Organe betrachtet werden. Sie bestehen aus Schwellkörpern, die, wenn sie mit Blut gefüllt werden, eine Erektion verursachen. Die Glans clitoridis ist wesentlich kleiner als die Eichel des Penis,  obwohl sie wahrscheinlich ebenso viele sensorische Nervenendigungen enthält wie die des Penis. Wegen der großen Zahl von Sinnesorganen im Bereich der Glans clitoridis ist diese äußerst empfindlich, wahrscheinlich empfindlicher als die Eichel des Mannes. Clitoris und  Penis sind an die untere Kante des Schambeinknochens fixiert, was bei der Erektion wichtig ist.</t>
  </si>
  <si>
    <t>TZCB6XEX</t>
  </si>
  <si>
    <t>Strahlentherapie: radiolog. Onkologie</t>
  </si>
  <si>
    <t>P4IS7I4Y</t>
  </si>
  <si>
    <t>574</t>
  </si>
  <si>
    <t>Vorbemerkung: Als Vulva bezeichnet man die anatomische Region des Mons veneris, der großen und kleinen Schamlippen, der Klitoris, der großen, im Vestibulum gelegenen  Drüsen sowie der hinteren Commissur des Introitus vaginae.</t>
  </si>
  <si>
    <t>QD52Z36B</t>
  </si>
  <si>
    <t>575</t>
  </si>
  <si>
    <t>a) Am häufigsten werden die großen oder kleinen Schamlippen [von einem Vulvakarzinom] befallen; in der großen Serie von Kottmeier (1971; s. Edsmyr u. Kottmeier, 1971) von über 500 Fällen in 85%, mit Befall der Klitorisregion in 40%, der hinteren Commissur in 16%, Übergang auf die Vaginalschleimhaut in ebenfalls 16%, Beteiligung der Urethramündung in 11,4%.</t>
  </si>
  <si>
    <t>KVXZDR72</t>
  </si>
  <si>
    <t>Gesund und glücklich: e. med. Ratgeber für Gesunde u. Kranke</t>
  </si>
  <si>
    <t>S2AMKU6F</t>
  </si>
  <si>
    <t>252</t>
  </si>
  <si>
    <t>Auch das weibliche Genitalorgan hat Schwellkörper, so  daß sich die Lust oder das Verlangen nach einem Sexualkontakt  steigern kann. Eigene Drüsen ermöglichen vermehrte Sekretproduktion, wodurch beim Sexualverkehr die Schleimhäute  das Hin- und Hergleiten des männlichen Gliedes erleichtern.  Die Clitoris, der hochempfindliche Punkt für jede Art von  Berührung, vermag das Lustgefühl so zu steigern, daß es auch  bei der Frau allerdings in höchst unterschiedlichen Quantitäten und Qualitäten – zu einem sexuellen Höhepunkt kommen kann.</t>
  </si>
  <si>
    <t>8PJREFQI</t>
  </si>
  <si>
    <t>Was Mädchen nicht zu fragen wagen - und was auch Jungen gerne wüßten</t>
  </si>
  <si>
    <t>EUHRAAJN</t>
  </si>
  <si>
    <t>23</t>
  </si>
  <si>
    <t>Die äußeren Geschlechtsorgane  der Scham- oder Venusberg;  die großen Schamlippen;  die kleinen Schamlippen;  die Klitoris oder der Kitzler;  die Harnröhrenöffnung;  das Hymenoder Jungfernhäutchen;  die Vorhofszwiebeln;  die Drüsen.</t>
  </si>
  <si>
    <t>PJV9M8IW</t>
  </si>
  <si>
    <t>24</t>
  </si>
  <si>
    <t>Fast völlig versteckt liegt an derVerbindungsstelle der beiden  großen Schamlippen ein winziges Organ, die Klitoris oder  der Kitzler. Die Klitoris ist das reizempfindlichste Organ  des gesamten weiblichen Geschlechtsapparates, weil sie besonders stark durchblutet ist. Gewöhnlich entwickelt sich  die Klitoris erst nach Eintritt in das aktive Geschlechtsleben  zu ihrer vollen Größe, Bei Mädchen, die in der Pubertät  masturbieren, entwickelt sich dieses Organ durch das Streicheln früher. Für den Zeugungsvorgang ist die Klitoris  56 nicht erforderlich, aber ihre Stimulierung löst den Orgasmus der Frau aus. Am Kitzler bildet sich das sogenannte  Smegma. Das ist eine weißliche Substanz, die abgesondert  wird. Da sich das Smegma leicht zersetzt, ist es selbstverständlich, daß man sich so oft wie möglich wäscht, um  üblen Geruch zu vermeiden.  Unterhalb des Kitzlers befindet sich eine runde, wulstartige  Erhöhung, in welche die Harnröhre einmündet.</t>
  </si>
  <si>
    <t>T6HMYX4J</t>
  </si>
  <si>
    <t>25</t>
  </si>
  <si>
    <t>Die Vorhofzwiebeln liegen rechts und  links in die Wand des Scheidenvorhofs eingebettet. Sie besitzen schwammartige Blutgefäßräume, die sich bei Geschlechtserregung mit Blut anfüllen, was zur Lusterhöhung  beiträgt.</t>
  </si>
  <si>
    <t>HDQ3Q5JP</t>
  </si>
  <si>
    <t>53</t>
  </si>
  <si>
    <t>Die Masturbation wird als psychische Stimulation und genitale Manipulation definiert, die durch starke sexuelle  Spannung mit nachfolgender Lustlösung gekennzeichnet  ist. Bei Mädchen spielen dabei der Schenkeldruck, hauptsächlich aber die klitorale Reizung eine Rolle. Seltener die  Einführung von Fingern oder Gegenständen.</t>
  </si>
  <si>
    <t>B6J6UF9L</t>
  </si>
  <si>
    <t>Auch Frauen masturbieren hauptsächlich mit der Hand.  Grundsätzlich versteht man darunter, daß die Frau auf dem  Rücken liegt und die Klitoralzone mit der Hand reizt.  Mit den Fingern, meist dem Mittelfinger, wird meist nicht  etwa die sehr empfindliche Klitoris selbst, sondern die gesamte Klitorisgegend durch Auf- und Ab-Reiben, manchmal mit kreisförmigen Bewegungen stimuliert.</t>
  </si>
  <si>
    <t>82KMPJBR</t>
  </si>
  <si>
    <t>58</t>
  </si>
  <si>
    <t>Wenn du deinen eigenen Körper kennst, vielleicht durch Selbstbefriedigung, dürfte es nicht zu schwierig sein, ihm zu helfen, die richtigen Stellen zu finden. Dazu gehört auch, daß du deinem Partner zeigst, wo er deine Klitoris findet und wie er sie stimulieren muß, um dir Lust zu bereiten und dir einen Orgasmus zu verschaffen.</t>
  </si>
  <si>
    <t>97ZQ74AZ</t>
  </si>
  <si>
    <t>Die Klitoris ist verschieden groß, mehr oder weniger sensibel und erigiert unterschiedlich. Soviel man weiß, hat die  Größe keinen Einfluß auf die Sensibilität. Wichtig ist nur,  daß du und dein Partner von ihrer Existenz wissen und ihr  die verdiente Aufmerksamkeit zukommen laẞt.</t>
  </si>
  <si>
    <t>MAJNPWDH</t>
  </si>
  <si>
    <t>Bei starker Erregung entwickelt sich zwischen den Schamlippen und in der Scheide  mehr Feuchtigkeit. Es kann aber sein, daß sich durch Ängstlichkeit oder Aufregung nicht genug Feuchtigkeit bildet.  Dein Partner darf dann nicht versuchen mit Gewalt zum  Ziel zu kommen. Bestehe auf Zärtlichkeit und seinem Verständnis. Mit seinen Fingern oder seiner Zunge kann er  deine Klitoris so stimulieren, bis du derart erregt wirst, daß  deine Scheide feucht wird und du dich danach sehnst,  deinen Partner ganz tief in dir zu spüren. Das heißt: du bist  bereit.</t>
  </si>
  <si>
    <t>Q8IKG3KR</t>
  </si>
  <si>
    <t>64</t>
  </si>
  <si>
    <t>Die Frau liegt unter dem Mann: Diese bei weitem üblichste Stellung, bei der die Frau auf dem Rücken liegt und  der Mann auf ihr, ermöglicht dem Mann das aktive Verhalten. Beide Liebenden sind horizontal gelagert, der Mann  liegt auf der Frau und zwischen ihren geöffneten Beinen.  Für den noch engeren Kontakt kann die Frau ihre Beine  schließen, der Mann die seinen öffnen.  Diese Stellung ermöglicht das leichte Eindringen des Penis  in die Vagina und die Stimulanz der Klitoris durch das  männliche Schambein oder die Hand.</t>
  </si>
  <si>
    <t>J8VIYNPL</t>
  </si>
  <si>
    <t>Seite an Seite: Legt euch auf die Seite und seht euch an.  Zuunterst liegt ein Bein des Mannes, dann kommt ein Bein  der Frau, dann das zweite Bein des Mannes, dann das zweite  Bein der Frau. Das Eindringen des Penis ist nicht ganz so  einfach, aber die Stimulanz der Klitoris kann besser sein.</t>
  </si>
  <si>
    <t>SUXCWJAY</t>
  </si>
  <si>
    <t>73</t>
  </si>
  <si>
    <t>Wenn die Erregung aufrechterhalten bleibt, sich im Gegenspiel von Reiz und Nervenreaktion noch steigert, schwillt auch die Klitoris an. Wie beim männlichen Glied füllen sich ihre Schwellkörper mit Blut, so daß sie sich streckt und aufrichtet. Im Gegensatz zum Mann, dessen Penis automatisch erigiert, hängt das Anschwellen der Klitoris von dem Reiz ab, der auf sie einwirkt. Die Klitoris ist das für den weiblichen Orgasmus wichtigste Organ. Durch ihre Stimulierung, sei es durch die Zunge oder den Finger deines Partners, oder deines eigenen Fingers, selten allein durch die Bewegungen des Penis in deiner Scheide, wird der Orgasmus ausgelöst. Das geschieht nach der Erregungsphase, die zeitlich sehr verschieden sein kann.</t>
  </si>
  <si>
    <t>IYV5K693</t>
  </si>
  <si>
    <t>Obwohl der Orgasmus durch direkte oder indirekte Stimulierung der Klitoris ausgelöst wird, macht er sich in einer  nicht genau definierbaren Zone um die Klitoris und Vagina  bemerkbar, häufig auch im oberen Teil der Vagina. Es ist  so ähnlich wie bei Männern, die an der Eichel stimuliert  werden müssen, um ihren Orgasmus zu bekommen, aber den  Orgasmus selbst innerhalb ihres Körpers fühlen.</t>
  </si>
  <si>
    <t>VXR3PL42</t>
  </si>
  <si>
    <t>75</t>
  </si>
  <si>
    <t>Leider herrscht erhebliche Verwirrung über die Begriffe klitoraler Orgasmus und vaginaler Orgasmus. Masters und Johnson habenjedoch überzeugend nachgewiesen, daßjeder weibliche Orgasmus durch klitorale Stimulierung, sei sie direkt (mit dem Finger oder der Zunge) oder indirekt (durch Geschlechtsverkehr),hervorgerufen wird. „Letzten Endes ist der Orgasmus nichts anderes als ein Reflex und hat als solcher eine sensorische und eine motorische Komponente... Der ganze Streit dreht sich im Grunde nur um die Lokalisierung der sensorischen Komponente des Reflexes. Wird der Orgasmus in der Regel durch Stimulierung der Vagina mit dem Penis ausgelöst? Oder durch taktile Reibung der Klitoris? Die klinischen Befunde sprechen eindeutig für die Klitoris." (Zit. nach Kaplan.)</t>
  </si>
  <si>
    <t>GLFBE3GS</t>
  </si>
  <si>
    <t>76</t>
  </si>
  <si>
    <t>Daraus ergibt sich, daß die Annahme der meisten Männer,  eine Frau gelange durch bloßes Stoßen des Penis zum  Orgasmus, falsch ist. Dagegen können fast alle Frauen durch  klitorale Stimulierung (bei manueller Stimulierung mit  einem Partner oder durch eigenes Zutun) orgasmen. Dies  wiederum bedeutet, daß es nur eine Art von Orgasmus gibt  und nicht zwei; daß Orgasmus beim Liebesakt durch indirekte klitorale Stimulierung hervorgerufen wird und  nicht durch vaginale. (Zit. nach Masters und Johnson.)</t>
  </si>
  <si>
    <t>Q4EVGTAT</t>
  </si>
  <si>
    <t>88</t>
  </si>
  <si>
    <t>[Kontext: Erklärungen verschiedener Ausdrücke und andere Bezeichnungen]ABSATZClitoris: Klitoris, Kitzler</t>
  </si>
  <si>
    <t>B873G83J</t>
  </si>
  <si>
    <t>Behinderung und Sexualität: Probleme u. Lösungsmöglichkeiten</t>
  </si>
  <si>
    <t>7WX9ZEE9</t>
  </si>
  <si>
    <t>40</t>
  </si>
  <si>
    <t>[Kontext: Sexuelle Erregung]ABSATZABSATZIn der Frau sondern Drüsen, welche sich in der Urethra und den Labia Majora (großen Schamlippen) befinden, eine Flüssigkeit ab, die zur Gleitfähigkeit beiträgt und den Eingang des Penis in die Vagina erleichtert. Die Öffnung der Vagina und die Vagina selbst vergrößern sich, um den Penis aufzunehmen. Die Clitoris, der Hauptsitz der sexuellen Gefühle in der Frau, schwillt an und vergrößert sich, dadurch größeren Kontakt und stärkere Stimulation ermöglichend.</t>
  </si>
  <si>
    <t>556ZAINV</t>
  </si>
  <si>
    <t>2.5. Orgasmischer Mechanismus  Das freudegebende Gefühl des Geschlechtsverkehrs, obwohl es in  der Wahrnehmung der meisten Menschen auf verschiedene Körperteile generalisiert wird, hat seinen Ursprung hauptsächlich in der  Eichel (Glans Penis) des Mannes und der Clitoris der Frau. Die Stimulation welche zum Orgasmus führt (das mächtige und umfassende Gefühl in welchem der Geschlechtsverkehr gewöhnlich gipfelt), die Ejakulation im Mann (welche den Orgasmus gewöhnlich aber nicht immer - begleitet), wird in der Hauptsache durch diese Stimulation bereitgestellt, obwohl die psychologische  Erregung und taktile Stimulation anderer Körperteile auch einen Beitrag leisten kann, und es auch tut.</t>
  </si>
  <si>
    <t>VWQK2FDA</t>
  </si>
  <si>
    <t>41</t>
  </si>
  <si>
    <t>Außer der Methode des Coitus, können Orgasmus und Ejakulation  durch Stimulation der Clitoris oder der Eichel erreicht werden.  Manchmal, wenn intensive psychologische Erregung mit im Spiel ist, auch ohne diese direkte Stimulation.</t>
  </si>
  <si>
    <t>G32RH52P</t>
  </si>
  <si>
    <t>[Kontext: Ablauf des Geschlechtsverkehrs]ABSATZABSATZABSATZd) Weitere physische Veränderungen, bis zur Bereitschaft beider Partner, das Eindringen des Penis in die Vagina zu ermöglichen. ABSATZe) Eindringen und reibende Stimulation durch beiderseitige Bewegung der Eichel und der Clitoris. Kontakt des Penis mit Nerven am Gebärmuttermund, welcher unterschiedliche zusätzliche Stimulation bei der Frau hervorruft. Unterstützende Stimulation anderer Sensitivbereiche (unter diesen Umständen wird die gesamte Oberfläche des Körpers in unterschiedlichem Umfang, sensitiv). ABSATZf) Zu guter letzt, wenn ausreichende Intensität der Stimulation erreicht ist, löst die gleichlaufende und begleitende Aktivität des zentralen Nervensystems, welche von den Nervenzentren ausgeht, einen Orgasmus in einem oder beiden Partnern aus, wobei der des Mannes gewöhnlich von einer Ejakulation begleitet wird. [12]</t>
  </si>
  <si>
    <t>644CFYKT</t>
  </si>
  <si>
    <t>Die Zeit die gebraucht wird, um einen Orgasmus zu erreichen, ist ähnlich unterschiedlich, aber innerhalb unserer Gesellschaft kann festgestellt werden, daß die meisten Männer einen Orgasmus schneller erreichen als die meisten Frauen unter günstigen Umständen beim Mann innerhalb zwei bis vier Minuten, gegenüber vier bis fünf Minuten bei der Frau. Diese Zeiten können, mit Übung, bis zu einem gewissen Grad kontrolliert werden manchmal bis zu einem beachtlichen Grad. Wenn die Umstände nicht völlig günstig sind, besonders wenn die Stimulation nicht direkt ist, was bei Frauen während des Geschlechtsverkehrs oft der Fall sein kann (fehlende clitorale Stimulation), können sich diese Zeiten beträchtlich verlängern, oder ein Orgasmus kann vielleicht garnicht erreicht werden.</t>
  </si>
  <si>
    <t>7RXMAA9G</t>
  </si>
  <si>
    <t>Die Intensität des Orgasmus kann bei Männern und Frauen  sehr unterschiedlich sein. Dies kann besonders bei Frauen der  Fall sein. Der Orgasmus kann milde befriedigend, oder minimal in seiner Intensität sein, sodaß er nicht voll befriedigend ist,  oder er kann absolut intensiv sein. Es hat Versuche gegeben nicht sehr erfolgreiche – diese minimalen oder maximalen Orgasmen bei Frauen, mit clitoraler und/oder vaginaler Stimulation in Verbindung zu bringen, aber es scheint eher wahrscheinlich, daß die Intensität psychologische Wurzeln und Ursachen hat.</t>
  </si>
  <si>
    <t>MSFY3YPQ</t>
  </si>
  <si>
    <t>55</t>
  </si>
  <si>
    <t>Wenn beide Partner einigermaßen schlank sind, können sie auf ihren Seiten liegen - entweder Gesicht zu Gesicht, oder mit dem  Mann hinter der Frau. In diesen Stellungen kann ein Partner auf einem Kissen liegen, um den Unterschied der Hüftbreite auszugleichen. Außerdem ist es in dieser Stellung sehr gut möglich, daß der Mann gleichzeitig mit dem Coitus die Clitoris der Partnerin manuell stimuliert.</t>
  </si>
  <si>
    <t>FVH6YPPT</t>
  </si>
  <si>
    <t>56</t>
  </si>
  <si>
    <t>Man sollte sich ins Gedächtnis rufen, daß für die volle sexuelle Befriedigung, die Eichel (der Vorsprung am Ende des Penis) und die Clitoris (das kleine, penisartige Organ innerhalb der inneren Schamlippen der Vagina) in Kontakt kommen sollten, und sich aneinander reiben sollten (entweder direkt oder indirekt).</t>
  </si>
  <si>
    <t>7345JG23</t>
  </si>
  <si>
    <t>57</t>
  </si>
  <si>
    <t>Manchmal hat ein Mann Schwierigkeiten eine volle und steife  Erektion zu bekommen oder die Steifheit geht verloren, bevor der Geschlechtsverkehr beginnt. Wenn sich der Penis aber überhaupt vergrößert (ohne steif zu werden) sollte es möglich sein, ihn unter Zuhilfenahme der Finger des einen oder anderen Partners, in die  Vagina der Frau einzuführen (dies wird von Prosituierten oft praktiziert und heißt in ihrer,Fachsprache',,Stopfen“). Wenn der Penis erst einmal in der Vagina ist, kann eine volle Erektion zurückkehren. Auch wenn keine Erektion resultiert, kann sich der etwas  weiche Penis der inneren Form der Vagina anpassen, und dies kann  sogar den Kontakt mit der Clitoris intensivieren. Dieser Kontakt  kann auch vergrößert werden, indem der Mann die Wurzel seines  Penis mit den Fingern umschließt (während des Coitus) und ihn  schnell innerhalb der Vagina bewegt. Dies kann auch von der Frau durchgeführt werden (besonders in den Fällen wo der Mann nicht  den vollen Gebrauch seiner Hände besitzt).</t>
  </si>
  <si>
    <t>6LCRHKMS</t>
  </si>
  <si>
    <t>Für die größere Befriedigung der Frau, welche ihre Gefühle im Genitalbereich teilweise verloren hat, gibt es kleine Ringe, die wiederum auf den Penis des Mannes gestülpt werden. Sie haben kleine Vorsprünge oder „,Stachel" welche die Stimulation der Labia  (Schamlippen) und der Clitoris intensivieren. Diese Ringe gibt es in den verschiedensten Ausführungen.</t>
  </si>
  <si>
    <t>SRCD8PRP</t>
  </si>
  <si>
    <t>62</t>
  </si>
  <si>
    <t>Was den Mann betrifft, wird erdie größte Befriedigung durch die  Eichel erhalten. Eine Frau erhältsie durch die Clitoris. Durch die  Liebkosung und das Streicheln dieser Organe, werden die Partner  den Gipfel der sexuellen Freude erreichen.</t>
  </si>
  <si>
    <t>E4CAA68W</t>
  </si>
  <si>
    <t>Vom Symptom zur Diagnose: Lehrbuch d. Diagnostik für Studenten, Allgemeinärzte u. Fachärzte</t>
  </si>
  <si>
    <t>QHYIFGYT</t>
  </si>
  <si>
    <t>548</t>
  </si>
  <si>
    <t>[Kontext: Pruritits vulvae]ABSATZABSATZEine sorgfältige Inspektion von Perineum, Anus, Labien, Klitoris und Introitus ist unumgänglich.</t>
  </si>
  <si>
    <t>FXBEHWRM</t>
  </si>
  <si>
    <t>Liebe, Lust, Leidenschaft: Schule d. Liebeskunst</t>
  </si>
  <si>
    <t>6YFQ6VEA</t>
  </si>
  <si>
    <t>Die äußere Scham liegt zwischen den Oberschenkeln am unteren Ausgang des Beckens; sie wird von den großen und kleinen Schamlippen,  dem Kitzler und dem eigentlichen Scheidenvorhof mit den Bartholinischen Drüsen gebildet.</t>
  </si>
  <si>
    <t>QJ5LHADN</t>
  </si>
  <si>
    <t>57f</t>
  </si>
  <si>
    <t>Die dünneren kleinen Schamlippen umschließen mit ihrem Vorderteil den Kitzler (Clitoris), dessen Vorhaut also in sie übergeht. Entwicklungsgeschichtlich entspricht dieses hochsensible Organ dem männlichen Glied. Beim männlichen Embryo bildet sich nämlich im dritten Schwangerschaftsmonat der Mutter aus der Spitze des sogenannten Genitalhöckers die Eichel des Penis, beim weiblichen Embryo dagegen der Kitzler. Auch der Kitzler ist, wie das männliche Glied, mit Schwellkörpern versehen. Außerdem weist auch der Scheideneingang Schwellkörper auf. Etwa eine Daumenbreite unterhalb des Kitzlers liegt der Ausgang der Harnröhre.</t>
  </si>
  <si>
    <t>I7CQJFJZ</t>
  </si>
  <si>
    <t>92</t>
  </si>
  <si>
    <t>Nach so betörendem Kosen darf der Mann einen Schritt weitergehen.Ermag  sich dabei an den Rat des Leibarztes der Kaiserin Maria Theresia, Gerard  van Swieten, erinnern. Auf ihre Frage, warum sie noch nicht schwangersei,  antwortete er, er rate, daß ihr Gemahl (Franz von Lothringen) vordemBeischlaf erst die Klitoris,Ihrer Allerheiligsten Majestät' kitzle. Wenn der  Reformator der damaligen österreichischen Medizin einer Erzherzogin solchen Rat erteilt, dürfen wir ihn unbesorgt weitergeben. Hinzusetzenmöchte  ich aber noch, daß diese sanfte Liebkosung auch während der Vereinigung  fortgesetzt werden kann, wenn der Mann seine Normallage beim Coitus  seitlich verschiebt - der Genuß der Frau wird dadurch früher herbeigeführt  und gesteigert.</t>
  </si>
  <si>
    <t>UQXIC6D6</t>
  </si>
  <si>
    <t>93</t>
  </si>
  <si>
    <t>In der ersten Nacht, beim ersten Beisammensein, wird es selten vorkommen,  daß auch die Frau schon voll in den Genuß der Liebeslust gelangt. Dazu sind ihre natürlichen Hemmungen noch zu groß, und das Durchstoßen des Jungfernhäutchens bereitet ihr Schmerzen. Auch wird sie selbst noch nicht wissen, welche Liebkosung ihr die größte Freude bereitet; das muß der Mann,  tastend und prüfend, herausfinden. Wenn sie erst ihren eigenen Körper und  seine Liebesbedürfnisse kennengelernt hat und ihr auch der Leib des Mannes  vertraut ist, wird sie ihn mit liebender Hand dort hinführen, wo sie am  innigsten erregbar ist.</t>
  </si>
  <si>
    <t>6UR4D77M</t>
  </si>
  <si>
    <t>100</t>
  </si>
  <si>
    <t>[Kontext: "Die Normallage" ("Missionar")]ABSATZABSATZZu empfehlen ist, daß sich der Mann gegen das Kopfende des Bettes zu schiebt, weil dann sein Penisschaft den Kitzler der Frau mehr und mehr reiz</t>
  </si>
  <si>
    <t>5JG3SLRH</t>
  </si>
  <si>
    <t>101</t>
  </si>
  <si>
    <t>Bei der 3. Position liegt der Mann ausgestreckt auf dem Bett (oder Fußboden, im Gras oder Sand eines einsamen Strandes), während die Frau gewissermaßen wie ein großer Schmetterling über ihm schwebt, liegt oder  sitzt. Diese Stellung ist deshalb so reizvoll, weil die Klitoris der Frau durch  ihr Auf- und Niedergleiten an dem Penisschaft besonders anschwillt und  sowohl der Mann wie die Frau Tempo und Rhythmus der Bewegungen abwechselnd bestimmen können.</t>
  </si>
  <si>
    <t>DSNJWTA2</t>
  </si>
  <si>
    <t>Pädiatrische Therapie: e. Leitf. für d. Praxis</t>
  </si>
  <si>
    <t>ZSLRSF7X</t>
  </si>
  <si>
    <t>Virilisierungen (mit Klitorishypertrophie, Sinus urogenitalis, Verschmelzung der kleinen Labien)ABSATZC Frühzeitige operative Klitorisrückverlagerung und evtl. Verkleinerung (nicht Amputation oder Exzision) zur Erhaltung der Orgasmusfähigkeit, Freilegung des Introitus vaginae und evtl. Neueinpflanzung der Vagina am Damm, nach dem Ende des 1. Lebensjahres.ABSATZABSATZS Präoperativ ausreichende Kortikoidsubstitution mit perioperativer Dosiserhöhung und klinischer Überwachung bei adrenogenitalem Syndrom.</t>
  </si>
  <si>
    <t>NVQFNTKJ</t>
  </si>
  <si>
    <t>Medica-Buch der gesamten Medizin: Diagnostik u. Therapie</t>
  </si>
  <si>
    <t>DIEV6CNQ</t>
  </si>
  <si>
    <t>242</t>
  </si>
  <si>
    <t>[Kontext: Das adrenogenitale Syndrom]ABSATZABSATZDer weibliche Pseudohermaphroditismus ist gekennzeichnet durch einen männlichen Habitus, Hirsutismus und, besonders bei späterer Manifestation, durch Adipositas und cushingoides Aussehen. Bei rudimentärer Ausprägung von Ovarien, Tuben, Uterus und Vagina sieht man eine penisähnliche, stark vergrößerte Clitoris.</t>
  </si>
  <si>
    <t>NFPVTFM9</t>
  </si>
  <si>
    <t>496</t>
  </si>
  <si>
    <t>Pseudohermaphroditismus femininusABSATZAnwesenheit von Ovarien. Positiver Chromatinbefund. Gradweise verschiedene Maskulinisierung der äußeren Geschlechtsorgane, penisartige Klitorishypertrophie. Häufigste Ursache der Virilisierung: NNR-Hyperplasie.</t>
  </si>
  <si>
    <t>BXQYZQCU</t>
  </si>
  <si>
    <t>521</t>
  </si>
  <si>
    <t>[Kontext: "Adreno-genitales Salzverlust-Syndrom (Debré-Fibinger-Syndrom, Pseudopylorospasmus)"]ABSATZABSATZGelegentlich kann eine Klitorisamputation indiziert sein.</t>
  </si>
  <si>
    <t>ZNQE2GX6</t>
  </si>
  <si>
    <t>Gynäkologische Onkologie: für d. Praxis</t>
  </si>
  <si>
    <t>SLN5RQYV</t>
  </si>
  <si>
    <t>236</t>
  </si>
  <si>
    <t>Ein Kapillarnetz sammelt die Lymphe von den kleinen Labien, der Haut der Klitoris, der  hinteren Kommissur und der Haut außerhalb des  Hymenalsaumes in Gefäßstämmen, die seitlich an  der Klitoris vorbei zum lateralen Anteil des Mons  pubis und von dort über die oberflächlichen zu den tiefen Leistenlymphknoten ziehen, die medial  der V. saphena magna liegen.</t>
  </si>
  <si>
    <t>VLNKUBSL</t>
  </si>
  <si>
    <t>237</t>
  </si>
  <si>
    <t>[Kontext: "Das sogenannte »mikroinvasive Karzinom« der Vulva"]ABSATZDie großen Labien sind mit etwa 30% am häufigsten befallen. Mit absteigender Frequenz folgen kleine Labien, Klitoris, Perineum, vordere Kommissur und Urethra</t>
  </si>
  <si>
    <t>8KH3W6NL</t>
  </si>
  <si>
    <t>239</t>
  </si>
  <si>
    <t>Die früher gelegentlich routinemäßig vorgenommene  Entfernung der iliakalen und Obturatoria-Lymphknoten wird in der letzten Zeit zumeist auf die  Patientinnen begrenzt, bei denen inguinale Lymphknotenmetastasen nachgewiesen wurden. Dies gilt auch für Patientinnen mit zentral gelegenen Tumoren, z. B. an der Klitoris, für die früher aufgrund der anatomisch nachgewiesenen direkten Lymphbahnen ins kleine Becken eine routinemäßige intrapelvine Lymphonodektomie vorgeschlagen wurde. Es hat sich gezeigt, daß trotz dieser Besonderheiten isolierte iliakale und Obturatoria-Metastasen ohne Beteiligung der Leisten-Lymphknoten nicht vorkamen oder eine ausgeprochene Seltenheit darstellen.</t>
  </si>
  <si>
    <t>MW4ZMIKS</t>
  </si>
  <si>
    <t>[Kontext: Melanome der Vulva)ABSATZDie Hauptlokalisation (ca. 80%) sind die Labia minora und die Klitoris.</t>
  </si>
  <si>
    <t>PNRCDS3G</t>
  </si>
  <si>
    <t>Pädiatrische Differentialdiagnose</t>
  </si>
  <si>
    <t>XW4RIZXH</t>
  </si>
  <si>
    <t>210</t>
  </si>
  <si>
    <t>Die Kindergynäkologie hat ihre eigenen Indikationen und Techniken, die der Kinderarzt für den Modus seiner Zusammenarbeit mit dem Gynäkologen kennen sollte (Tab. 30.1). Die hauptsächlichen Probleme sind:  anatomische Abweichungen an Klitoris und Vulva, Entzündungen der Vulva, Fluor vaginalis, Verdacht auf vaginale Fremdkörper, Blutabgang aus der Vagina im Zusammenhang mit Zyklusstörungen, pathologische Amenorrhoe.</t>
  </si>
  <si>
    <t>9TLQIE9D</t>
  </si>
  <si>
    <t>213</t>
  </si>
  <si>
    <t>30.5. Pathologische Amenorrhoe  Man spricht in diesem Zusammenhang am besten von primärer und sekundärer Amenorrhoe, je nachdem, ob das Mädchen schon seine Menarche und weitere Blutungen hatte oder nicht. Bestimmend für die differentialdiagnostische Abklärung ist der Habitus (Entwicklung der Mammae und der Sekundärbehaarung), die klare Differenzierung des Genitales (infantil? Vergrößerung der Klitoris? Vagina? Uterus vorhanden? vergrößerte Ovarien?); sehr hilfreich hier die Sonographie, die Bestimmung der Gonadotropine und der  17-Ketosteroide im Harn, sowie  -die Chromosomenanalyse und eventuell - die Probelaparotomie mit Inspektion des inneren Genitales und Probeentnahme aus den Gonaden  zur histologischen Untersuchung.</t>
  </si>
  <si>
    <t>8VSCGPH6</t>
  </si>
  <si>
    <t>beim adrenogenitalen Syndrom. Pseudohermaphro ditismus femininus; dabei Sekundärbehaarung vom männlichen Typ, infantiler Uterus, kleine  Vagina, phallusartige Klitoris.</t>
  </si>
  <si>
    <t>KM7TTBDR</t>
  </si>
  <si>
    <t>beim Turner-Syndrom; dabei Feb [...] behaarung, infantile Vagina [...]ABSATZfällige Klitoris, kleine oder f [...]</t>
  </si>
  <si>
    <t>MEPNKE3H</t>
  </si>
  <si>
    <t>Mensch und Gesellschaft</t>
  </si>
  <si>
    <t>TDTYIKLV</t>
  </si>
  <si>
    <t>72</t>
  </si>
  <si>
    <t>Zwischen den  Labia minora findet sich die Klitoris, ein winziges, sexuell äußerst empfindliches Organ, das dem männlichen Penis entspricht.</t>
  </si>
  <si>
    <t>Q7B9MBIP</t>
  </si>
  <si>
    <t>Die Entwicklung des Kindes</t>
  </si>
  <si>
    <t>AG28QC6D</t>
  </si>
  <si>
    <t>75f</t>
  </si>
  <si>
    <t>Stadium 3: Die infantil-genitale Periode (3.-4. Lebensjahr). Beim Jungen ist es der  Penis und beim Mädchen sind es die Klitoris und übrigen Geschlechtsteile, die die Schlüsselobjekte der erotischen Lust in der dritten großen psychosexuellen Periode  darstellen.</t>
  </si>
  <si>
    <t>XZPEBSMQ</t>
  </si>
  <si>
    <t>Sexuell übertragbare Krankheiten</t>
  </si>
  <si>
    <t>TXVZWYLX</t>
  </si>
  <si>
    <t>71</t>
  </si>
  <si>
    <t>[Kontext: Primärsyphilis]ABSATZABSATZBei der Frau bleibt der Primäraffekt in der Vagina oder an der Portio oft unbemerkt, im übrigen findet er sich an den kleinen und großen Labien, an Klitoris, hinterer Kommissur oder am Ostium urethrae.</t>
  </si>
  <si>
    <t>T29UAKH8</t>
  </si>
  <si>
    <t>Sex beginnt im Kopf: der mentale Weg zu höchster Erfüllung</t>
  </si>
  <si>
    <t>Y3D3THGW</t>
  </si>
  <si>
    <t>85</t>
  </si>
  <si>
    <t>John  Money schreibt in seinem Buch Lovemaps (1986) über seinen  Kollegen Kellogg:  &gt;&gt;Kellogg war der glühendste Verfechter der DegenerationsTheorie und ihrer Anti-Masturbations-Kampagne. Für den Fall unausrottbarer Masturbationsneigungen bei kleinen Jungen empfahl er, die Vorhaut mit Silberdraht zuzunähen, oder - falls  auch dieses Mittel versagte - ohne Betäubung eine Beschneidung vorzunehmen. Bei Mädchen riet er, die Klitoris mit Karbolsäure wegzuätzen.</t>
  </si>
  <si>
    <t>U6FJT7US</t>
  </si>
  <si>
    <t>98</t>
  </si>
  <si>
    <t>Der Geschlechtsakt allein bietet nicht immer die nötige Erregung, um einen Höhepunkt zu erreichen. Insbesondere Frauen finden, daß sie durch eine zusätzliche Stimulierung der Klitoris  oder Brust während des Koitus leichter zum Orgasmus kommen.</t>
  </si>
  <si>
    <t>HN646V2T</t>
  </si>
  <si>
    <t>157</t>
  </si>
  <si>
    <t>Erregungsphase. In diesem Stadium bereitet sich der Körper auf den Erregungszustand durch eine Zunahme der Herz- und  Atemfrequenz sowie eine Erweiterung der Blutgefäße im Genitalbereich vor. Das Blut strömt verstärkt in die Genitalien und  verursacht bei Männern eine Erektion des Penis, bei Frauen das  Anschwellen der Klitoris und die Lubrikation der Scheide.</t>
  </si>
  <si>
    <t>E99XE4BF</t>
  </si>
  <si>
    <t>Du verstehst mich nicht!: Die Semantik der Geschlechter</t>
  </si>
  <si>
    <t>GNIVMXQS</t>
  </si>
  <si>
    <t>58f</t>
  </si>
  <si>
    <t>Für Freud muß ein solches Fundament im Gezeugten und nicht Erlernten gerade für die weibliche «Schwäche&gt;&gt; mehr bedeutet haben als angesichts hysterischer, phobischer oder zwanghafter Symptome. Auch für diese wurde ja damals energisch eine angeborene Grundlage, eine «Degeneration&gt;&gt; postuliert. Diese Vermutung hat Freud mit dem Argument erledigt, sie sei in ihren Beweisen wenig eindeutig und in ihren Konsequenzen nur destruktiv, führe zu Resignation, wo doch eine therapeutische Hilfe durchaus möglich sei. Wie kohärent Freud aber sein Bild der Frau um das herum entwarf, was er Mill entgegenzusetzen trachtete, zeigen seine Aussagen über die Weiblichkeit:ABSATZ[...]ABSATZ3. Der Wechsel des Liebesobjekts (von der Mutter zum Vater) und des Musters der sexuellen Erregung (von der «phallischen» Klitoris zur Vagina) hinterläßt Frauen mit einer größeren Starre der libidinösen Fixierungen.ABSATZ[...]ABSATZ4. Der Penisneid bleibt im ungünstigen Fall der weiblichen Entwicklung bestehen, führt zu lebenslangen Gefühlen, unvollständig und mangelhaft zu sein, bedingt auch eine stärkere Neigung der Frau zu Ungerechtigkeit, Eifersucht, Miẞgunst und Rachsucht. Im günstigen Fall gelingt es der Frau, die klitorale Sackgasse zu verlassen, die Hoffnung aufzugeben, doch noch einen Penis zu erhalten, und diesen Wunsch durch die vaginale Begierde nach dem männlichen Penis zu ersetzen.</t>
  </si>
  <si>
    <t>F8TVPAV9</t>
  </si>
  <si>
    <t>Wenn die Frau [wie in Freuds Theorie] vergeblich auf ein Wachstum der Klitoris wartet und endlich, sobald sie diese Hoffnung verloren hat, ein begehrliches Auge auf den Penis wirft, der zwar nicht ihrer ist, aber doch geweckt werden kann, sie zu beglücken, ängstigt sie den Mann wenig, obwohl sie doch eine ganze Menge von ihm verlangt. Denn sie will etwas, was er gerne gibt.</t>
  </si>
  <si>
    <t>XU4JUW6R</t>
  </si>
  <si>
    <t>Dein Körper - Deine Gefühle: für Jugendliche über Sexualität und Verhütung</t>
  </si>
  <si>
    <t>XWUGHQ56</t>
  </si>
  <si>
    <t>11</t>
  </si>
  <si>
    <t>Zu Petting  gehört übrigens nicht immer das gegenseitige Streicheln und Berüh13 ren der Geschlechtsteile. Wenn aber beide dazu bereit sind, wird die  Lust danach, den andern zu erregen und erregt zu werden, immer  intensiver. Wie dies abläuft, dafür gibt es allerdings kein Schema.  Vielleicht beginnt der Mann zuerst, den Kitzler (die Klitoris), die empfindsamste Stelle bei der Frau, zu berühren und zu reiben: wie stark  oder wie schnell, das hängt davon ab, wie es für die Partnerin am  schönsten ist.</t>
  </si>
  <si>
    <t>PXILTRAU</t>
  </si>
  <si>
    <t>17</t>
  </si>
  <si>
    <t>Zu sich selber zärtlich sein und sich selber durch Streicheln und Reiben der Klitoris beziehungsweise des Penis zum Orgasmus zu bringen, ist keineswegs etwas Schmutziges oder Unanständiges. Es bedeutet auch nicht, dass jemand deshalb unfähig ist, eine Liebesbeziehung zu haben.</t>
  </si>
  <si>
    <t>MULZUXGD</t>
  </si>
  <si>
    <t>Bei Frauen wird mit dem Aufkommen sexueller Erregung die  Scheide feucht. Aus Blutgefässen, welche die Scheide umgeben, sikkert nämlich die «Erregungsflüssigkeit» ins Innere der Scheide, sobald  ihre Wände durch die Erregung anschwellen. Auch der Kitzler (die  Klitoris) schwillt etwas an. Der Kitzler ist ein Lustorgan, das für Berührungen sehr empfänglich ist. Er besitzt übrigens ebensoviele Nervenendigungen zur Reizaufnahme wie der Penis des Mannes.</t>
  </si>
  <si>
    <t>5SY34425</t>
  </si>
  <si>
    <t>Mädchen wissen oft gar nicht so recht, wo denn überhaupt ihr Urin  herausfliesst. Das ist bei Frauen anders als bei Männern: Der Urin  kommt nicht etwa durch den Kitzler heraus, sondern durch eine Öffnung, die du zwischen dem Kitzler und dem Scheideneingang findest.</t>
  </si>
  <si>
    <t>XBZSN3EB</t>
  </si>
  <si>
    <t>Neuro- und Sinnesphysiologie: mit 11 Tabellen</t>
  </si>
  <si>
    <t>ARGNRUB7</t>
  </si>
  <si>
    <t>184</t>
  </si>
  <si>
    <t>Die großen Schamlippen weichen auseinander, verschieben sich nach vorne seitlich und schwellen bei fortgesetzter Erregung durch venöse Blutstauung an. Die kleinen Schamlippen nehmen durch Blutfüllung um das 2- bis  3 fache zu und schieben sich zwischen die großen Schamlippen. Sie ändern  ihre Farbe von rosa zu hellrot. Die Klitoris schwillt an, nimmt an Länge zu  und wird an den Rand des Schambeins gezogen. Diese Vergrößerung der  äußeren Genitalien ist auf eine vermehrte Blutfüllung der Organe zurückzuführen. Sie wird möglicherweise durch vasodilatatorisch wirkende parasympathische Efferenzen aus dem Sakralmark, die in den Beckennerven laufen,  erzeugt (Abb. 6-15).</t>
  </si>
  <si>
    <t>QC5PQ8DF</t>
  </si>
  <si>
    <t>Die Behandlung des Vulvakarzinoms an der Universitäts-Frauenklinik der Friedrich-Schiller-Universität Jena in den Jahren 1976 bis 1989</t>
  </si>
  <si>
    <t>R5K9R82R</t>
  </si>
  <si>
    <t>8</t>
  </si>
  <si>
    <t>Die Hauptlokalisation  des Vulvakarzinoms betrifft in ca. 70 % die Labien. Der Klitorisbereich als nächsthäufige Lokalisation ist stadienabhängig mit 8  bis 18% beteiligt, die hintere Kommissur bzw. deren Umgebung mit  6 bis 9 %.</t>
  </si>
  <si>
    <t>5E22RECU</t>
  </si>
  <si>
    <t>13</t>
  </si>
  <si>
    <t>Weniger gut ausgeprägte lymphatische Ausbreitungswege verlaufen  ventral von der Klitoris infrapubisch entlang der Urethra und  dorsal von der Kommissur entlang der A. pudenda interna direkt zu  den pelvinen Lymphknoten.</t>
  </si>
  <si>
    <t>T23CYUH6</t>
  </si>
  <si>
    <t>In unserem Krankengut waren die malignen Veränderungen im Bereich  der Vulva folgendermaßen lokalisiert:  35,3% der Vulvakarzinome fanden sich an den großen Labien,  12,4% an den kleinen Labien, 11,1 % waren an der Klitoris, 8 %  an der hinteren Kommissur und im Analbereich.</t>
  </si>
  <si>
    <t>XUPRTAUG</t>
  </si>
  <si>
    <t>31</t>
  </si>
  <si>
    <t>Das Vulvakarzinom wurde bei 35,5 % im Bereich der großen Labien  lokalisiert, bei 12,1 % an den kleinen Labien und primär war die  Klitoris in 11 Fällen (11,1 %) beteiligt. 32,8 % wiesen mehrfache  Tumorlokalisationen auf und bei 8 % war der Tumor an der hinteren  Kommissur lokalisiert. Ähnliche Zahlen werden in der Literatur  angegeben. /30/32/34/59/90/122/</t>
  </si>
  <si>
    <t>NBPIGZ4T</t>
  </si>
  <si>
    <t>Homöopathische Therapeutika</t>
  </si>
  <si>
    <t>YV9SIR29</t>
  </si>
  <si>
    <t>1585</t>
  </si>
  <si>
    <t>Sulphur: Jucken in der Scheide oder belästigendes an den [äußeren]  Teilen; und mit Ausschlagsblüten [Pickelchen] umher; nicht schmerzhafte  Bläschen an der äußeren Scham.4 - Heftiges Jucken von Klitoris und  Vagina.10 [Brennen an der Scham (oder auch in der Scheide), kaum das Sitzen zulassend.4 Entzündung einer Schamlippe mit Brennschmerz, am meisten beim Harnen.4 - Wunde Stelle an der Scham und  am Perineum.4]</t>
  </si>
  <si>
    <t>VF2PAZFF</t>
  </si>
  <si>
    <t>Mars, Venus und Eros: Männer lieben anders, Frauen auch</t>
  </si>
  <si>
    <t>Q5VHW5IX</t>
  </si>
  <si>
    <t>Fährt er ihr über die  Innenseite der Oberschenkel oder berührt er die äußeren Geschlechtsorgane, die Schamlippen, die Klitoris und schließlich  auch die Vagina, fühlt sie sich schon ganz heiß und feucht an  und bäumt sich ihm entgegen. Hat er sie so stimuliert, fiebert  ihm alles in ihr entgegen.</t>
  </si>
  <si>
    <t>3KAFHDT2</t>
  </si>
  <si>
    <t>46</t>
  </si>
  <si>
    <t>Wenn er die Brustwarze erst einmal berührt, sollte er hin  und her darüberfahren. Immer und immer wieder hin und her.  Und zwar so ausdauernd, als gäbe es nichts Wichtigeres auf  der Welt. Ist die Brustwarze dann hart und steif, kann er sachte darüberlecken oder an ihr saugen. Frauen empfinden es als  besonders erregend, wenn ein Mann an ihrer Brustwarze saugt  und gleichzeitig ihre Klitoris massiert.</t>
  </si>
  <si>
    <t>HMWR45E2</t>
  </si>
  <si>
    <t>47</t>
  </si>
  <si>
    <t>Anstatt das Höschen ohne Umschweife auszuziehen, könnte der Mann die Frau berühren, indem er hinten innerhalb  des Höschens bis ganz nach vorn entlangfährt. Er kann auch  schon das feuchte Schamhaar um die Klitoris herum erforschen.</t>
  </si>
  <si>
    <t>Z5WYU8SG</t>
  </si>
  <si>
    <t>Wenn er ihr dann endgültig das Höschen ausgezogen hat,  kann er sich der Innenseite der Oberschenkel eingehender  widmen und die äußeren Schamlippen umkreisen, bis nur  noch die Klitoris ausgespart bleibt.</t>
  </si>
  <si>
    <t>72IU679E</t>
  </si>
  <si>
    <t>Die Klitoris berühren Oft vergessen Männer ganz, die Klitoris zu berühren. Frauen haben in meinen Beratungsstunden oft moniert, daß ihre Partner sie dort nicht berühren, die Stelle garantiert verfehlen, wenn sie es versuchen, oder sich nicht lange genug damit aufhalten, wenn sie die Stelle finden. Viele Frauen schließen daraus, daß sich ihr Partner nicht viel aus ihnen macht. Im allgemeinen entspricht das nicht der Wahrheit. Männer vergessen oft, die Klitoris zu berühren, weil sie nicht daran denken, wie wichtig das für die Frauen ist. Bei Befragungen und in Sexualstudien haben Frauen ausgesagt, daß ihre Orgasmen zu 98 Prozent dem Stimulieren der Klitoris zuzuschreiben sind.</t>
  </si>
  <si>
    <t>FUEWWT25</t>
  </si>
  <si>
    <t>48</t>
  </si>
  <si>
    <t>Männer vergessen oft, die Klitoris der Frau  zu stimulieren, weil ihnen ihr Instinkt nicht sagt,  daẞ fast alle Orgasmen der Frau auf die  Stimulierung der Klitoris zurückzuführen sind.  Auf Lieblosigkeit darf die Frau jedoch aufgrund  dieser Unterlassungssünde nicht gleich schließen.</t>
  </si>
  <si>
    <t>4CFMF387</t>
  </si>
  <si>
    <t>Er sollte sich einmal vorstellen, wie sich der Sex gestalten  würde, wenn sie seinen Penis nicht berührte. Dann hätte er  wohl nicht viel davon. Ähnlich ergeht es auch ihr. Sex ist für  sie nur dann eine reine Freude, wenn er sich ihrer Klitoris  fünf bis fünfzehn Minuten widmet. Nur so gelangen die Frauen meistens zum Orgasmus.</t>
  </si>
  <si>
    <t>4WHZR6UP</t>
  </si>
  <si>
    <t>In meinen Beratungsstunden bekomme ich von Männern  oft zu hören, daß sie die Klitoris ihrer Partnerin fünf bis zehn  Minuten streicheln. Wenn ihr Mann nicht dabei ist, behaupten  die Frauen dagegen, daß er sie dort kaum je berührt, und wenn  das doch einmal der Fall ist, dann höchstens eine oder zwei  Minuten.  In so einem Fall verrate ich den Frauen, daß die Männer  der Überzeugung sind, sie widmeten sich der Klitoris viel länger.</t>
  </si>
  <si>
    <t>UVLVVGD8</t>
  </si>
  <si>
    <t>49</t>
  </si>
  <si>
    <t>Wenn er sich der Klitoris der Frau nicht lange genug widmet, sollte sie einfach hinunterlangen und sich dort selbst berühren. Damit macht sie ihm deutlich klar, was in ihr vorgeht,  und er empfindet das nicht als Kritik, fühlt sich weder gerügt  noch bevormundet. Wenn er merkt, wieviel ihr das bedeutet,  wird er sich ganz automatisch mehr Zeit dafür nehmen.  Möchte sie aber, daß er sie anders berührt, braucht sie nicht  stillschweigend mit einer Engelsgeduld zu ertragen, was er tut.  Sie braucht nur hinunterzulangen, um ihm vorzumachen, was  sie möchte. Der Mann sollte sich dabei - auf ein Kissen gestützt – über sie beugen und ihr genau zusehen.  Notfalls kann der Mann auch anhand des Weckers feststellen, wie lange er sich diesem Vorspiel widmet. Das klingt nicht  sehr romantisch, ist aber eine sehr wirksame Methode. Der  Mann kann ja diskret einen Wecker auf das Nachttischchen  stellen und von Zeit zu Zeit auf die Uhr sehen, um festzustellen, wie lange er ihre Schamlippen und Klitoris schon streichelt.</t>
  </si>
  <si>
    <t>R6JWINSI</t>
  </si>
  <si>
    <t>Für Sam hing alles vom Berühren der Klitoris der Frau ab.  Wurde sie sehr erregt, wußte er, daß er irgend etwas richtig  gemacht hatte. Aber was? Ich schlug ihm vor, seine Partnerin  Ellen zu bitten, ihn kurz in die Geheimnisse ihres Körpers  einzuweihen, um sein Selbstvertrauen zu stärken. Ich empfahl  dem Paar, sich locker und beiläufig zu unterhalten und nicht  zu versuchen, sich daran aufzugeilen.</t>
  </si>
  <si>
    <t>G4ESZEC2</t>
  </si>
  <si>
    <t>Als sie dann später wirklich Verkehr hatten und sie vor Erregung keuchte, wußte Sam, was ihr gefiel, weil er deutlich  vor Augen hatte, was er mit den Händen machte und wo er  Ellen berührte.  Während sie sich unterhielten, sah Sam sich Ellens Sexualorgane ganz genau an, vor allem die Klitoris. Da er genau  wußte, wo die lag, konnte Ellen sicher sein, daß Sam sie immer  ausreichend stimulieren würde. Vor allem aber wußte Sam  genau, was er da unten machte.  Das wirkte tatsächlich Wunder.</t>
  </si>
  <si>
    <t>3XTPQSYA</t>
  </si>
  <si>
    <t>95</t>
  </si>
  <si>
    <t>Wenn er sie dadurch zum Orgasmus bringt, daß er ihren  ganzen Körper und ihre Klitoris stimuliert, kommt es zu Kontraktionen ihrer Vagina, und die Frau sehnt sich danach, daß  ihr Partner seinen Penis in sie einführt. Und einen günstigeren  Zeitpunkt dafür kann man sich kaum vorstellen.</t>
  </si>
  <si>
    <t>VJCSV6KI</t>
  </si>
  <si>
    <t>96</t>
  </si>
  <si>
    <t>Sie kann ihrem Partner zum Beispiel durch das Schlüssel150 wort &gt;&gt;Bitte!&lt;&lt; verraten, daß sie kurz vor dem Orgasmus steht.  Das kann entweder heißen: »Wenn du nicht aufhörst, komme  ich«&lt;, aber auch: »Tut das gut!« Dadurch weiß er Bescheid,  und es liegt ganz bei ihm, ob er sie weiter stimuliert, bis sie  einen Orgasmus hat, oder ob er ihre Klitoris lieber eine Weile  nicht so direkt berührt, damit sie sich wieder fängt und er sie  erneut erregen kann.  Entschließt er sich zu einer kleinen Pause, muß das jedoch  nicht heißen, daß er seine Partnerin in dieser Zeit gar nicht  mehr berühren darf. Er kann sie überall berühren und ausgesprochen sinnlich streicheln. Doch um ihre Klitoris muß er  einen Bogen machen. So kann sie noch einmal kurz Atem  schöpfen, bevor er sie noch mehr erregt.  Die Zwischenphasen, in denen die Erregung wieder abflaut,  sind ein gutes Training für den Körper. Das Ergebnis ist ein  größerer Lustgewinn. Ich habe einmal einen Versuch gemacht,  der diese These untermauert.</t>
  </si>
  <si>
    <t>WIHKD47H</t>
  </si>
  <si>
    <t>116</t>
  </si>
  <si>
    <t>D  as Stimulieren der Klitoris ist für die Frau ungeheuer  wichtig, doch sie ist so winzig, daß man sie leicht übersieht. Deshalb möchte ich kurz auf die Anatomie der Frau zu  sprechen kommen. Der Begriff »Vulva«&lt; steht für die gesamten  äußeren Genitalien der Frau - die großen und die kleinen  Schamlippen, die Klitoris und den Scheidenvorhof.</t>
  </si>
  <si>
    <t>SEJZ9INY</t>
  </si>
  <si>
    <t>Am vorderen Ende der Schamlippen befindet sich die Klitoris. Da sie so winzig ist und Männer keine haben, können  sie sich nicht vorstellen, wie schön es für die Frau ist, dort  berührt zu werden. Als Faustregel sollten sich die Männer  merken: Sie sollten sich mit der Klitoris der Partnerin befassen, bevor sie in sie eindringen.  Männer sollten sich der Klitoris der Partnerin  zuwenden, bevor sie in sie eindringen.</t>
  </si>
  <si>
    <t>ZINX9JCC</t>
  </si>
  <si>
    <t>Berühren der Klitoris  Die Klitoris ist teilweise von einem kleinen Hautlappen, einer  Art Haube, überdeckt. Ist die Frau erregt, versteift sich die  Klitoris, schwillt an. Je mehr sie anschwillt, desto mehr sehnt  sich die Frau danach, berührt zu werden. Ihr geht es wie dem  Mann mit seinem Penis in der gleichen Situation.  Wenn sie hochgradig erregt ist, kann er ihre Erregung noch  steigern, indem er mehrere Finger fest auf die Stelle oberhalb  der Klitoris preßt, die Kapuze wegzieht und die Klitoris auf  diese Weise freilegt. Dabei muß er jedoch sehr behutsam vorgehen. Drückt er zu fest oder vorschnell zu, hat sie unter Umständen keinen Orgasmus, auch wenn ihr vorher durchaus danach war. Durch allzu festen Druck wird alles taub.  Er sollte sich vornehmen, sie in dieser Körperregion federleicht zu berühren. Möchte sie, daß er fest zufaßt, kann sie  ihm das klarmachen, indem sie sich ihm entgegenhebt oder  nach seiner Hand greift und sie fester auf ihre Klitoris drückt.</t>
  </si>
  <si>
    <t>U9E9WRRN</t>
  </si>
  <si>
    <t>Stecken Sie einen Finger  in die feuchte Vagina und streichen Sie mit dem nassen Finger  über die Schamlippen bis zur Klitoris hinauf. Umkreisen Sie  die Klitoris behutsam, sorgen Sie aber unbedingt dafür, daß  sie immer angefeuchtet ist. Sonst verursacht die Reibung nämlich Schmerzen. Bewegen Sie die Hand ganz sachte rhythmisch auf und ab, dann von einer Seite auf die andere und  dann wieder auf und ab.</t>
  </si>
  <si>
    <t>XU5QEUT4</t>
  </si>
  <si>
    <t>119</t>
  </si>
  <si>
    <t>Nachdem Sie Ihre Partnerin eingehend gestreichelt haben,  können Sie die Klitoris umkreisen. Erst nach links und dann  nach rechts. In großen Kreisen, und dann zur Abwechslung  in kleineren. Schließlich auch noch in Spiralen. Ziehen Sie  einen großen Kreis um die gesamte Vulva herum, umkreisen  Sie sie immer wieder. Ziehen Sie den Kreis allmählich enger,  bis Sie nur noch die Klitoris umkreisen. Wenn Sie eine Weile  sehr enge und präzise Kreise um die Spitze, den Kopf der  Klitoris ziehen, können Sie die Kreise allmählich immer gröBer werden lassen.  Ziehen Sie das die Klitoris umhüllende Bindegewebsblatt  zurück. Anstatt die Klitoris unmittelbar zu berühren, können  Sie in beiden Richtungen über die Nerven streichen, die von  oben zur Klitoris hinunterführen. Unvorhergesehene Bewegungsabläufe, ein schnelles und dann auch wieder langsameres Streicheln, können für die Frau unsäglich erregend sein.</t>
  </si>
  <si>
    <t>AERAAFKE</t>
  </si>
  <si>
    <t>120</t>
  </si>
  <si>
    <t>Wenn Sie die Klitoris berühren, können Sie so tun, als schrieben Sie das Alphabet darauf. Dann merken Sie, ob Ihre Partnerin bei bestimmten Buchstaben besonders heftig reagiert.  Machen Sie mit der Zunge weiter, wenn Ihre Hand erlahmt.  Darauf ist Ihre Partnerin wahrscheinlich ganz versessen, weil  das andere Empfindungen auslöst. Ihre Partnerin empfindet  es mit Sicherheit als sehr erregend, wenn Sie die Zunge über  ihre Klitoris gleiten lassen, vor allem wenn sie ohnehin schon  in Ekstase ist.</t>
  </si>
  <si>
    <t>HAQNLQVN</t>
  </si>
  <si>
    <t>Ich erinnere mich noch genau an den ersten Oralverkehr mit  einer Frau. Nach neun Jahren als Mönch wollte ich endlich  mit einer Frau schlafen, aber bevor es richtig dazu kam, sagte  die Betreffende: »Ach, leck doch bitte erst meine Klitoris, bevor du in mich eindringst. Das tut unheimlich gut.&lt;&lt;  Damit versetzte sie mir einen fürchterlichen Schock. Die  Worte &gt;&gt;Leck meine Klitoris«&lt; gingen mir nicht mehr aus dem  Kopf. Bis dahin hatte ich nämlich nicht einmal gewußt, daß  es so etwas wie Oralverkehr mit Frauen gab. Auf die Idee  wäre ich von selbst gar nicht gekommen.</t>
  </si>
  <si>
    <t>WNULPI3E</t>
  </si>
  <si>
    <t>121</t>
  </si>
  <si>
    <t>Fährt er ihr mit der Zunge über die Genitalien, kann er sie  genauso lecken, wie er sie auch berührt hätte. Die Genitalien  werden durch die Zunge angefeuchtet, die Zunge gleitet besser als die Hand, und deshalb ist es für die Frau ein noch viel  schöneres Gefühl, geleckt zu werden. Noch überwältigender  ist es, wenn er die Klitoris behutsam einsaugt und blitzschnell  mit der Zunge darüberfährt oder sie einfach zwischen die Lippen nimmt und mit der Zunge sanft massiert.  Während er die Klitoris der Frau leckt oder an ihr saugt,  kann er vorsichtig einen oder zwei Finger in ihre Vagina ein184 führen und den oder die Finger ganz langsam immer wieder  hineinschieben und herausziehen. Das macht den Liebesakt  für sie noch schöner.</t>
  </si>
  <si>
    <t>JVMWQD6Q</t>
  </si>
  <si>
    <t>122</t>
  </si>
  <si>
    <t>Auf diese Weise kann er auch noch einen  Punkt stimulieren, den die Sexualforscher G-Punkt nennen.  Er liegt ein Stückchen vom Scheideneingang entfernt an der  vorderen Scheidenwand. Reiben und Massieren dieses GPunkts steigert die Erregung.  Wenn diese Beschreibungen zu sehr in Technik ausarten,  besteht die Gefahr, daß auch der Sex zu einer allzu technischen  Angelegenheit wird. Macht sich der Mann auf die Suche nach  dem G-Punkt, fühlt sich die Frau bald unter Druck gesetzt.  Deshalb mag es genügen, wenn er die Klitoris nicht vergiẞt.</t>
  </si>
  <si>
    <t>M9NKSNCP</t>
  </si>
  <si>
    <t>Wünscht sie die Intensität zu steigern, kann sie fester  drücken, während sie die Hand auf- und abbewegt. Sie kann  den Penis auch mit Speichel anfeuchten, damit die Hand besser gleitet. Das steigert die Intensität der Lust. Die Frau sollte  darauf achten, daß der Penis mit Speichel gut »geölt&lt;&lt; ist, denn  sonst macht sich ein brennender Schmerz bemerkbar, weil  durch Reibung Hitze entsteht. Auch die Klitoris muß feucht  sein, wenn sie stimuliert wird.</t>
  </si>
  <si>
    <t>4JZHZAYU</t>
  </si>
  <si>
    <t>126</t>
  </si>
  <si>
    <t>Sie löst auch starke Lustgefühle in ihm aus, wenn sie den  Rand der Eichel stimuliert, und zwar mit zarten schnellen Bewegungen. So federleicht, wie sie ihre Klitoris behandelt wis189 sen möchte. Vielleicht erscheint es ihr danach angebracht, den  Druck auf seinen Penis zu verstärken.</t>
  </si>
  <si>
    <t>2C76HS5A</t>
  </si>
  <si>
    <t>New joy of sex</t>
  </si>
  <si>
    <t>2D3SP54M</t>
  </si>
  <si>
    <t>Es hat auch nichts zu tun mit dem Gegensatz zwischen &gt;&gt;klitoralem« und »vaginalem« Orgasmus (das ist nur eine  grobanatomische Art des Versuchs, einen natürlichen Unterschied  in Worten auszudrücken), denn der Mann empfindet denselben Gegensatz.</t>
  </si>
  <si>
    <t>XV3GGEVQ</t>
  </si>
  <si>
    <t>Wenn man von &gt;&gt;klitoralem Orgasmus&lt;&lt; spricht, so meint man gewöhnlich einen Koitus,  der gemeinsam erfolgen soll, dabei jedoch (bei der Frau) den Eindruck eines Solos hervorruft. Die Solopraktik kann sogar auf die  ruhigsten Menschen äußerst elektrisierend wirken. Wenn sie geschickt gehandhabt wird, vonjemandem, der sich selbst durch lautes Schreien nicht abhalten läßt, aber weiß, wann er aufhören muß,  kann eine Frau einen Orgasmus nach dem anderen haben, und ein  Mann kann bis zur Grenze menschlicher Ausdauer knapp am Rande des Höhepunktes gehalten werden.</t>
  </si>
  <si>
    <t>VLDJKQ4U</t>
  </si>
  <si>
    <t>Natürlich haben Frauen wie Männer unmittelbare physische Reaktionen, doch sind diese anders geartet (als erstes Brüste und  Haut, bitte, kein direkter Griff nach der Klitoris), und man darf sie  nicht kurzschließen.</t>
  </si>
  <si>
    <t>BKS93ZGL</t>
  </si>
  <si>
    <t>36</t>
  </si>
  <si>
    <t>Einige unwissende Wilde schneiden noch die Klitoris ab. Angeblich bestehen die Frauen selbst am meisten darauf, ihre Töchter so zu verstümmeln. Die unseren gehen nicht so weit, schneiden  aber noch immer ihr Achselhaar weg oder taten es, bis eine neue  Generation sich allmählich darüber klarwurde, daß es sexy ist.</t>
  </si>
  <si>
    <t>2SAE4BPA</t>
  </si>
  <si>
    <t>38</t>
  </si>
  <si>
    <t>[Die Vulva ist] Empfindlich in all ihren l'eiten - der phallusbewußte Mann neigt dazu, sich zwecks Beruhigung auf die Klitoris zu stürzen. Liebhaber sollten frühzeitig lernen, einander beim Masturbieren zuzusehen - nur wenige Frauen empfinden anfänglich Vergnügen bei übertriebener Klitorisreizung.</t>
  </si>
  <si>
    <t>II68D8IC</t>
  </si>
  <si>
    <t>39</t>
  </si>
  <si>
    <t>Viele Männer sind sich, wenn sie allzusehr auf direkte Klitorisstimulation eingestellt sind, nicht bewußt,  daß die meisten Frauen zum Orgasmus gebracht werden können,  wenn man einfach den Venushügel in der hohlen Hand hält und  ihn knetet oder schüttelt, bevor oder während man einen Finger in  die Vulva steckt oder auch ohne das zu tun (siehe unter &gt;&gt;Schamhaar&lt;&lt;).</t>
  </si>
  <si>
    <t>D7RZVAUM</t>
  </si>
  <si>
    <t>44</t>
  </si>
  <si>
    <t>[Kontext: Oberschenkelkoitus]ABSATZWird von vorn oder hinten bzw. in jeder anderen Stellung verwendt, in der sie ihre Schenkel zusammenpressen kann. Der Penis kommt dazwischen, mit dem Schaft zwischen ihren Schamlippen, die Eichel jedoch außerhalb der Vagina, und sie drückt kräftig. Verleiht der Frau ganz besondere Empfindungen – mitunter stärker als beim Eindringen, daher lohnt sich der Versuch. Hinsichtlich der Technik braucht man nicht so streng zu sein wie unsere Ahnen, die sich bemühen mußten, das Sperma um jeden Preis aus der Vulva herauszuhalten. Mit entsprechender Vorsicht kann man das von hinten tun, wobei die Eichel tatsächlich die Klitoris streift, was eine großartige Wirkung ergibt.</t>
  </si>
  <si>
    <t>P7B3PQ82</t>
  </si>
  <si>
    <t>Beim Gegenstück [zur Fellatio] kniet sie rittlings über ihm und bietet sich ihm genau wie bei einem leidenschaftlichen Mund-zu-Mund-Kuẞ an, zuerst rasch und oberflächlich, dann offen und tief, während er lange Zungenstriche von der Vagina zu Klitoris ausführt und jedesmal, wenn er zu ihrer Eichel kommt, daran zieht.</t>
  </si>
  <si>
    <t>UIFSAKK9</t>
  </si>
  <si>
    <t>Der erste Genitalkuß ist für ein unerfahrenes Mädchen ein  neuer »&gt;Höhepunkt«&lt;. Wenn man vor ihr kniet, »&gt;vers le buisson  ardent des femmes«&lt; (dem weiblichen Feuerdorn zugewandt), sieht  es gut aus, aber man kann bestenfalls den Kopf daran schmiegen.</t>
  </si>
  <si>
    <t>4VHSIPH2</t>
  </si>
  <si>
    <t>59</t>
  </si>
  <si>
    <t>[Kontext: Missonarstellung]ABSATZABSATZWenn man damit beginnt, kann man die Stellung vertiefen – indem man die Beine der Partnerin hochlegt, zur Klitoris übergeht, indem man ein Bein zwischen ihre Beine legt, sich zur Seite oder ganz herum wälzt, um mit ihr in der oberen Stellung zu enden -, auf die Knie gehen und sich zum Buchstaben X zurücklehnen, bei dem jeder Partner zwischen den Beinen des anderen liegt (siehe unter &gt;&gt;X-Stellung&lt;&lt;), zu Rücken-, Seiten- oder Steh-Stellung übergehen, und dann für das Ende wieder zurückkommen.</t>
  </si>
  <si>
    <t>DET75SVC</t>
  </si>
  <si>
    <t>Es gibt Frauen, bei denen die Missionarstellung nicht taugt, die muß man sitzend einander gegenüber oder von hinten, mit einem Finger an der Klitoris, befriedigen, oder sie müssen reiten.</t>
  </si>
  <si>
    <t>DR6NKCCQ</t>
  </si>
  <si>
    <t>[Kontext: Missionarstellung, der Text ist an 'den Mann' gerichtet]ABSATZABSATZWenn Ihr Schambein nicht sehr hart ist und sie ein wenig mehr Klitorisdruck braucht, versuchen Sie eine Stellung mit einem Bein dazwischen, oder verwenden Sie zusätzlich Ihre Finger. Sie kann ihrerseits Ihre Vorhaut halten oder die Schafthaut des Penis mit der Hand zurückziehen (siehe unter &gt;&gt;Florentinisch&lt;&lt;).</t>
  </si>
  <si>
    <t>3XVKV8WM</t>
  </si>
  <si>
    <t>[Kontext: "Reiten auf dem hl. Georg" (Reiten)]ABSATZABSATZSie kann sich für Brust- oder Mundküsse vorneigen, zurück, um ihm ihren Anblick zu bieten, ihre eigene Klitoris bei der Bewegung streicheln, es hinauszögern, wenn sie will, um noch stärker zu empfinden - einfach alles.</t>
  </si>
  <si>
    <t>L9K9X68U</t>
  </si>
  <si>
    <t>Die Stellungen einander gegenüber, wobei ein Partner beide  Schenkel zwischen denen des anderen hat - er rittlings über den ihren oder dazwischen. Dazu gehören die verschiedenen Formen der &gt;&gt;Missionarstellung«&lt; sowie die meisten komplizierten Stellungen mit Tiefenwirkung. Sie gibt (gewöhnlich) mehr Tiefe, aber weniger Druck auf die Klitoris als die Flanquette.</t>
  </si>
  <si>
    <t>FFDEZI3Q</t>
  </si>
  <si>
    <t>Flanquette ABSATZDie Gruppe der Sexualstellungen, bei denen die Partner einander halb zugekehrt sind - sie liegt mit dem Gesicht ihm zugewandt und mit einem Bein zwischen seinen, infolgedessen eines seiner Beine zwischen ihren, das frontale Gegenstück der Cuissade. Die Stellung ergibt durch den pressenden Oberschenkel des Mannes einen zusätzlichen Druck auf die Klitoris.</t>
  </si>
  <si>
    <t>PVAK6NJR</t>
  </si>
  <si>
    <t>66</t>
  </si>
  <si>
    <t>Von hinten Die andere Möglichkeit für Menschen - bei den meisten Säugetieren ist es die einzige. Sie funktioniert hervorragend im Stehen, Liegen, Knien, Sitzen oder mit der Frau rittlings oberhalb. Daß man einander nicht ins Gesicht sieht, wird mehr als ausgeglichen durch besondere Tiefe und Pobackenstimulierung, Zugang zu den Brüsten und Klitoris für die Hände sowie den Anblick einer hübschen Rückansicht.</t>
  </si>
  <si>
    <t>D54A3XBU</t>
  </si>
  <si>
    <t>67</t>
  </si>
  <si>
    <t>Manche Frauen haben  es gern, wenn man während des Koitus mit dem Finger an der Klitoris spielt, und das ist bei allen Stellungen von hinten leicht. Jedenfalls lohnt es den Versuch, zumal es den Empfindungsbereich  völlig verändert. Das Umfassen der ganzen Vulva mit einer Hand  verursacht wieder ein anderes Gefühl und vermittelt nicht die  übertriebene Schärfe, die durch starke Klitorisreizung erzielt wird.  Oder Sie können den Penis kurz herausziehen und ein paarmal mit  der Eichel, die Sie mit der Hand führen, über die Klitoris streichen.</t>
  </si>
  <si>
    <t>JZ74XGZ4</t>
  </si>
  <si>
    <t>182</t>
  </si>
  <si>
    <t>Ringe sind etwas anderes. Sie sind grundsätzlich Erektionserhalter; sie können dort, wo sie funktionieren, wirklich nützlich  sein, indem sie eine Teilerektion nach einem Orgasmus unterstützen das erfolgt durch leichtes Drosseln der Venen an der Peniswurzel, um die Schwellkörper anzufüllen. Da sie über dem Schambein getragen werden, können sie auch einen zusätzlichen  Druckpunkt für die Klitoris bilden. Das schönste Exemplar, das  wir gesehen haben, stammt aus China und ist aus Elfenbein hergestellt. Die zwei Himmelsdrachen tragen eine Perle (den Samen) im Gebrauch ist die Perle ein kleiner, für die Klitoris passender  Knopf, die Drachenschuppen öffnen sich und kitzeln die Schamlippen.</t>
  </si>
  <si>
    <t>GAPG5JII</t>
  </si>
  <si>
    <t>Die Chinesen und Japaner binden auch dünnes Leder um den ganzen Penis oder den unteren Schaft, die Japaner verwenden auBerdem durchbrochene Röhren, die über das Ganze passen - in jedem Fall sind Druck an der Wurzel sowie das Rauhmachen des Schaftes und der Schamgegend der Zweck des Gerätes. Daneben gibt es gürtelartige Apparate, welche die Vorhaut durch Ziehen an der Peniswurzel zurückhalten. Es gibt heute verschiedene moderne Gummi- oder Plastikmodelle, die um die Schaftwurzel passen und zur Unterstützung des männlichen Schambeins einen Klitoriskitzler tragen. Wir finden viele der Klitorisknoten zu hart und daher nicht angenehm, und alle Gummiringe haben die Eigenschaft, einen der beiden Partner zu kneifen.</t>
  </si>
  <si>
    <t>U5Z7RDW3</t>
  </si>
  <si>
    <t>189</t>
  </si>
  <si>
    <t>[Kontext: "Langsame Masturbation" -&gt; Partner*in fesseln und dann langsames Tease&amp;Denial, hier: Mann bei gefesselter Frau]ABSATZABSATZDer Mann hat drei Stellen, auf die er sich zu konzentrieren hat Mund, Brüste und Klitoris. Zwei ziemlich straffe Windungen um die Brüste sind nützlich (Vorsicht!). Er kann ebenso beginnen wie sie, mit dem coup de cassolette (Achselhöhle und Eichel), und dann seine Hand über ihre cassolette reiben und auf ihren Mund legen, um ihr das eigene Parfüm zurückzugeben. Er muß ihre Töne und Bewegungen beobachten, um zu erkunden, eine wie kräftige Behandlung der Klitoris sie aushält.</t>
  </si>
  <si>
    <t>GYGDJBLA</t>
  </si>
  <si>
    <t>197f</t>
  </si>
  <si>
    <t>Vibratoren  Ein Hilfsgerät, das sich für den Unterricht sexuell unerfahrener  Frauen zur Stimulierung ihrer eigenen Reaktionen als sehr nützlich erwiesen hat. Es gibt zwei Hauptvarianten - penisförmige, die  an der Haut, den Brüsten, der Klitoris oder tief in der Vagina verwendet werden können (die kleine Ausführung ist anal verwendbar), und größere, mit einem Motor betriebene Modelle, wie sie  von Masseuren benutzt werden, die wie ein Handschuh an die  197 Hand geschnallt werden und an fast jedem Körperteil tolle Gefühle hervorbringen können.</t>
  </si>
  <si>
    <t>9RBPKJR8</t>
  </si>
  <si>
    <t>198</t>
  </si>
  <si>
    <t>Vibratoren sind kein Penisersatz manche Frauen verwenden sie lieber als einen Finger für die Masturbation oder stecken einen in die Vagina, während sie mit der  Hand an der Klitoris arbeiten.</t>
  </si>
  <si>
    <t>RE6M2H3E</t>
  </si>
  <si>
    <t>Eine sorgfältige Vibrator-Massage der ganzen Körperfläche ist der übertriebenen Konzentration auf Penis oder Klitoris  vorzuziehen, erfordert jedoch einige Geschicklichkeit.</t>
  </si>
  <si>
    <t>3AMFJKGT</t>
  </si>
  <si>
    <t>237f</t>
  </si>
  <si>
    <t>[Kontext: "Frigidität"]ABSATZABSATZWenn man einmal ein Stimulans gefunden hat – ob allein oder mit einem Liebhaber -, das Gefühle vermittelt, soll man es bei der Liebesbetätigung voll und ganz anwenden. Wenn man einen Finger an der Klitoris oder einen Genitalkuẞ braucht, soll einen nichts daran hindern die Propaganda hinsichtlich des »vaginalen Orgasmus&lt;&lt; ist tatsächlich Propaganda, und das Werturteil, man sei keine Frau, wenn man nicht allein durch tiefes Eindringen des Penis voll befriedigt werde, ist absolut nicht zutreffend; manche Frauen werden dadurch befriedigt, andere nicht.</t>
  </si>
  <si>
    <t>TL9ARUVC</t>
  </si>
  <si>
    <t>238</t>
  </si>
  <si>
    <t>[Kontext: "Frigidität"]ABSATZZur Selbsterziehung machen Sie es sich vorerst wirklich bequem - nackt oder nicht, vor einem Spiegel oder nicht, was Ihnen mehr zusagt. Denken Sie oder phantasieren Sie über alles, was irgendeine Reaktion bei Ihnen hervorbringt, dann beginnen Sie allmählich, Ihren Körper zu erforschen. Lassen Sie Ihre Hand dorthin gehen, wo es Ihr Körper wünscht - Brüste, die ganze Hautfläche, Schamlippen, Klitoris.</t>
  </si>
  <si>
    <t>JPCJDS27</t>
  </si>
  <si>
    <t>Knaurs Buch der Symptome: Krankheiten erkennen, richtig reagieren</t>
  </si>
  <si>
    <t>G3IA2PDG</t>
  </si>
  <si>
    <t>489</t>
  </si>
  <si>
    <t>Wir wollen hier einige Fakten über den weiblichen Orgasmus erwähnen: - Es handelt sich gleichermaßen um ein körperliches wie seelisches ErlebnisABSATZ- Die Reizung der Klitoris ist sehr bedeutsamABSATZABSATZ- Sex wird nicht zu jeder Zeit als erfreulich empfundenABSATZ- Frauen brauchen länger, bis sie zum Orgasmus kommen, als Männer ABSATZ- Frauen können zahlreiche Orgasmen hintereinander erleben; sie benötigen keine Erholungspause wie die Männer</t>
  </si>
  <si>
    <t>ED6VAXTU</t>
  </si>
  <si>
    <t>490</t>
  </si>
  <si>
    <t>Für einen Orgasmus der Frau sind folgende Dinge erforderlich: ABSATZ- Einfühlsames Vorspiel ABSATZ- Reizung der KlitorisABSATZ- Vermeidung von Schmerzen ABSATZ- Ausreichende Gleitfähigkeit von Penis und Scheide</t>
  </si>
  <si>
    <t>4U5ZMJID</t>
  </si>
  <si>
    <t>Sexualität und Partnerschaft</t>
  </si>
  <si>
    <t>Q9X8ZJTK</t>
  </si>
  <si>
    <t>Zum Glück ist es vielen Frauen völlig gleichgültig, wie groß der Fenis ihres Partners ist. Manche empfinden sogar ein körperliches Unbehagen,  wenn das Glied groß ist - beim oralen Sex ist ein kleiner Penis beispielsweise  angenehmer. Außerdem werden die Lustgefühle der Frau bei Sex hauptsächlich von der Klitoris und von den Nerven im ersten Teil der Scheide  ausgelöst, sodass die Länge des Penis unwichtig ist.</t>
  </si>
  <si>
    <t>BWIGK9BL</t>
  </si>
  <si>
    <t>14</t>
  </si>
  <si>
    <t>DIE KLITORIS  Die Klitoris, das empfindlichste Organ  der Vulva, ist sozusagen das weibliche  Gegenstück zum männlichen Penis und  besitzt die gleichen Teile, wenn auch en miniature. In anatomischer und physiologischer Hinsicht ist die Klitoris einzigartig. Der Mann besitzt kein Organ, das  nur dazu dient, Sinnesreize zu empfangen und weiterzuleiten, um die sexuelle  Erregung in Gang zu bringen oder zu verstärken.</t>
  </si>
  <si>
    <t>IHTGUPR4</t>
  </si>
  <si>
    <t>Die Klitoris ist 2 bis 3 cm lang. Ihre Spitze ist von einer empfindlichen  Schleimhaut bedeckt, die viele Nervenrezeptoren enthält. Beim Sex wird die  Klitoris doppelt so groß und richtet sich  aufwie ein Penis. Ihre Länge, einschlieẞlich Schaft und Eichel, variiert beträchtlich, jenachdem, wie stark das Wachstum in der Pubertät von Hormonen angeregt  wurde.</t>
  </si>
  <si>
    <t>U4GTLD7L</t>
  </si>
  <si>
    <t>16</t>
  </si>
  <si>
    <t>Die erste Reaktion auf eine sexuelle Stimulation die unweigerlich mit einer Berührungbeginnt - ist die Befeuchtung  der Scheide nach 10 bis 30 Sekunden.  Die Scheidenwand sondert schleimige Tröpfchen ab, eine Art Schweiß. Die sexuelle Reaktion der Frau wird zwar  hauptsächlich von der Klitoris ausgelöst,  doch diese reagiert nicht annähernd so  schnell wie der Penis.</t>
  </si>
  <si>
    <t>HWA43PG4</t>
  </si>
  <si>
    <t>DIE KLITORIS REAGIERT  Wie schnell die Klitoris reagiert, hängt  davon ab, ob sie direkt oder indirekt  stimuliert wird. Am wirksamsten ist eine  unmittelbare Stimulation des Klitorisschafts oder des Venushügels. Eine indirekte Stimulation, zum Beispiel die  Berührung anderer erogener Zonen wie der Brüste oder der Scheide, löst eine  deutliche, aber langsamere Reaktion aus.  Die Berührung- mit den Fingern, dem Mund oder dem Penis - ist die einzige direkte Stimulation und die meisten Frauen kommen nur durch Berührung und Penetration zum Orgasmus. Beim Sex  wird die Klitoris zwar nicht unmittelbar  stimuliert, sodass die Bewegung des Penis  oft nicht genügt, um einen Orgasmus  auszulösen; aber ihre indirekte Stimulation führt dazu, dass der Schaft nach unten  gedrückt und die Eichel entblößt wird.</t>
  </si>
  <si>
    <t>QXICRX2R</t>
  </si>
  <si>
    <t>Es ist nie gelungen, die Klitoris beim Orgasmus zu untersuchen, weil sie sich  unter die Labia minora zurückzieht.</t>
  </si>
  <si>
    <t>DEPGNG6L</t>
  </si>
  <si>
    <t>Nach dem Orgasmus können 10 bis  15 Minuten vergehen, bis die Vagina  wieder ihre normale Farbe annimmt und  faltig wird. Die Klitoris hat 5 bis 10 Sekunden nach der letzten orgasmischen  Kontraktion wieder ihre normale Form  und die Labia minora verlieren ebenso  schnell ihre dunklere Farbe.  Das Abschwellen der Klitoriseichel  kann 5 bis 10 Minuten dauern, manchmal 30 Minuten. Wird der Orgasmus nicht erreicht, bleibt die Klitoris nach  dem Sex mitunter stundenlang geschwollen.</t>
  </si>
  <si>
    <t>UAGRNE97</t>
  </si>
  <si>
    <t>Bei Frauen lösen die Stimulation der Klitoris und die Bewegung des  Penis in der Vagina den Orgasmus aus. Sie können ihn aber auch durch  manuelle oder orale Stimulation der Klitoris, der Scheide oder des  „G-Punktes“ erreichen.</t>
  </si>
  <si>
    <t>66EV83UG</t>
  </si>
  <si>
    <t>21</t>
  </si>
  <si>
    <t>Masters und Johnson, zwei Sexualforscher, beharrten darauf, dass der  Orgasmus der Frau von der Klitoris ausgelöst wird und nicht in der Vagina. Viele Frauen kennen jedoch eine Artvon Orgasmus, der zwar in der Klitoris beginnt,  sich aber in der Scheide fortsetzt und  noch intensivere Lustgefühle auslöst. Die Ursache dieses Orgasmus soll eine  Stimulation des „G-Punktes" sein (siehe  S. 24).</t>
  </si>
  <si>
    <t>ZK6K3R28</t>
  </si>
  <si>
    <t>Je stimulierender und erotischer das Vorspiel ist, desto schneller ist die einleitende Phase beendet. Wenn der Penis in die Vagina  eindringt, nimmt die Erregung allmählich immer mehr zu und es wird gleichzeitig die Klitoris stimuliert, sodass die Frau schnell den Orgasmus  erreichen kann.</t>
  </si>
  <si>
    <t>NYBSWBRH</t>
  </si>
  <si>
    <t>26</t>
  </si>
  <si>
    <t>Drücken Sie mit den Fingern oben auf  die vordere innere Scheidenwand und  mit der anderen Hand gleichzeitig außen  auf den Bauch. Wenn Sie den Punkt stimulieren, sollte er anschwellen und zwischen den Fingern inner- und außerhalb  der Vagina als Knoten tastbar sein. Das  kann intensive Lustgefühle auslösen und vielleicht haben Sie einen heftigen Orgasmus, der ganz anders ist als der, den  die Klitoris einleitet.</t>
  </si>
  <si>
    <t>YBS8HY5T</t>
  </si>
  <si>
    <t>40f</t>
  </si>
  <si>
    <t>[Kontext:] Die folgenden Tipps können Ihnen helfen, weniger streng zu sich zu sein und Ihren Körper als Quelle sexueller Lust zu betrachten. Am besten machen Sie diese „Übungen" allein, wenn Sie viel Zeit haben und entspannt sind. [...]ABSATZ5 Untersuchen Sie Ihre Vagina mit einem Handspiegel bei gutem Licht. Identifizieren Sie die einzelnen Teile. Ziehen Sie die Vorhaut der Klitoris zurück, streichen Sie mit den Fingern über die inneren und äußeren Labien und über den Damm, um weitere sensitive Stellen zu finden. Spreizen Sie die kleinen Labien und erforschen Sie die Vagina außen und innen.</t>
  </si>
  <si>
    <t>I55IJ7IM</t>
  </si>
  <si>
    <t>42</t>
  </si>
  <si>
    <t>[Kontext: "Das sexuelle Repertoire", "Was Männer tun können"]ABSATZABSATZ• Sie stimulieren Klitoris und Scheide und bringen Ihre Partnerin zum Orgasmus. • Sie stimulieren Klitoris und Scheide mit dem Mund und bringen Ihre Partnerin zum Orgasmus.</t>
  </si>
  <si>
    <t>RU59NF9U</t>
  </si>
  <si>
    <t>Die Klitoris ist der empfindlichste Teil des weiblichen Körpers. Stimulieren Sie sie sanft und geschickt, ohne Hast. Viele Frauen mögen  es besonders, wenn Sie dazu die Eichel  benutzen.</t>
  </si>
  <si>
    <t>PCSYD9TL</t>
  </si>
  <si>
    <t>50</t>
  </si>
  <si>
    <t>Einerlei, ob Geschlechtsverkehr geplant ist oder nicht - wenn ein Mann  zärtlich wird, berührt, küsst und liebkost er früher oder später die Brüste, die Brustwarzen und die Klitoris der Partnerin und ermutigt sie, das gleiche  mit seinem Penis zu tun.</t>
  </si>
  <si>
    <t>4KTKMYFG</t>
  </si>
  <si>
    <t>Das sexuelle Interesse des Mannes gilt vor allem der Eichel seines Penis. Frauen  haben viel mehr zur Auswahl (nicht nur  Schaft und Eichel der Klitoris sind hochempfindlich, sondern auch die Labien, die Scheidenöffnung und die Scheide).</t>
  </si>
  <si>
    <t>GG8SFEI2</t>
  </si>
  <si>
    <t>Jede Frau masturbiert anders, aber kaum eine reibt die Eichel der Klitoris, weil diese oft zu empfindlich reagiert, vor allem  nach dem Orgasmus. Der Partner sollte  die Eichel daher erst wieder berühren,  wenn die Partnerin es wünscht.</t>
  </si>
  <si>
    <t>U3GQHU5D</t>
  </si>
  <si>
    <t>Die meisten Frauen, die die Klitoris  stimulieren, berühren nur deren Schaft,  und zwar die rechte Seite, wenn sie  Rechtshänderin sind und die linke, wenn  sie Linkshänderin sind. Viele wechseln  auch die Seiten, weil sich bei intensiver  Stimulation sonst ein Taubheitsgefühl  einstellt.</t>
  </si>
  <si>
    <t>FVHEXKWK</t>
  </si>
  <si>
    <t>Nur sehr wenige Frauen konzentrieren  sich allein aufdie Klitoris; die meisten stimulieren den ganzen Venushügel.</t>
  </si>
  <si>
    <t>LHDJVFX5</t>
  </si>
  <si>
    <t>Beim Masturbieren streicheln die meisten Frauen den Schaft der Klitoris ohne  Pause bis zum Ende des Orgasmus.</t>
  </si>
  <si>
    <t>BHJE3JTH</t>
  </si>
  <si>
    <t>Mit den Fingern, der Handfläche und  den Handballen können Sie die stärksten  Lustgefühle im Bereich der Klitoris auslösen. Machen Sie die Finger mit Scheidensekret, Speichel oder Creme (siehe  S. 63) glitschig. Geeignet sind kreisförmige oder vibrierende Bewegungen. Legen Sie die Hand über die Klitoris,  üben Sie mit den Fingern oder mit der Handfläche sanften Druck aus und bewegen Sie die Hand kreisförmig.</t>
  </si>
  <si>
    <t>69JNNXBQ</t>
  </si>
  <si>
    <t>STIMULIEREN SIE IHRE PARTNERIN Die Klitoris ist zart und empfindlich. Indirekter Druck ist meist angenehmer als  direkter Druck.</t>
  </si>
  <si>
    <t>D5IWH3YR</t>
  </si>
  <si>
    <t>Ziehen Sie dann die Hand hinauf, sodass der Handballen oben an der Vulva  über der Klitoris liegt und zum Teil auf  dem Schambein ruht, wo Sie beim Reiben fester drücken können.  Sie können auch die Handfläche auf  den Venushügel legen und sanft drücken. Die Finger liegen über der Klitoris und  bewegen sich kräftig und kreisförmig.</t>
  </si>
  <si>
    <t>YD2YRW95</t>
  </si>
  <si>
    <t>Oderlegen Siedie gewölbteHand auf  die Vulva und lassen Sie sie rasch vibrieren, während die Finger auf der Klitoris  hin und her gleiten. Halten Sie die Hand  dann still, legen Sie einen Finger an beide Seiten der kleinen Labien und bewegen  Sie die Finger vibrierend hin und her.  Drücken Sie die Finger kräftig durch die fleischigen Falten und reiben Sie beide  Seiten der Labia minora an der Basis der  Klitoris.</t>
  </si>
  <si>
    <t>NNGJCTYY</t>
  </si>
  <si>
    <t>Die meisten Frauen haben es gern,  wenn ein Finger in die Vagina eindringt,  während die Klitoris stimuliert wird.  Führen Sie den Mittelfinger (mit kurzem Nagel) in die Scheide ein und krümmen  Sie die anderen Finger, sodass die Knöchel weiter gegen die Klitoris drücken.  Sie können den Finger sanft vor und zurück schieben und Druck auf die vordere Scheidenwand ausüben; oder reiben  Sie die Klitoris mit der Eichel des Penis.</t>
  </si>
  <si>
    <t>B6PGHEF3</t>
  </si>
  <si>
    <t>Vibratoren werden meist benutzt, um die Klitoris zu  stimulieren, und sie können sehr hilfreich sein, wenn eine Frau beim Koitus schwer zum Orgasmus kommt.  Der Vibrator stimuliert Millionen von Nervenenden in der Haut der  Labien und der Klitoris.</t>
  </si>
  <si>
    <t>87PXHGGA</t>
  </si>
  <si>
    <t>Während des Koitus drückt der Penis gegen Labien und Klitoris und knipst sozusagen Millionen winzige Schalter an, die elektrische Impulse  zum Gehirn senden. Je mehr Sensoren er stimuliert, desto stärker ist das  Lustgefühl. Traurig, aber wahr: Der Vibrator ist besser als viele Penisse;  denn er erreicht mindestens eine Million mehr Sensoren als das geschickteste Glied und garantiert einen Orgasmus.</t>
  </si>
  <si>
    <t>MDBVFBEU</t>
  </si>
  <si>
    <t>Denken Sie daran, dass die Erektion der Klitoris und  die Produktion des Scheidensekrets lediglich Reflexe sind genau wie  die Erektion des Penis und nicht immer unsere Gefühle genau widerspiegeln.</t>
  </si>
  <si>
    <t>SF3EW98C</t>
  </si>
  <si>
    <t>SO SUCHT DER MANN  EINE POSITION  • Erlaubt sie ein tiefes Eindringen?  • Kann ich die Vulva meiner Partnerin  gut sehen? • Kann ich ihre Klitoris gut erreichen?</t>
  </si>
  <si>
    <t>JDM9HHKV</t>
  </si>
  <si>
    <t>SO SUCHT DIE FRAU EINE  POSITION  • Kann ich mich so bewegen, dass die  Stimulation ausreicht?  • Kann ich meinen Partner sehen?  • Ist sie in den letzten Schwangerschaftsmonaten bequem?  • Ist die Klitoris gut erreichbar?</t>
  </si>
  <si>
    <t>9J2P7EVM</t>
  </si>
  <si>
    <t>FRAU  Sex im Stehen ist sinnvoll,  wenn die Zeit und der Platz begrenzt sind und wenn sie Abwechslungschätzt. Siekann  die kleinen Labien und die  Klitoris intensiv stimulieren,  indem sie sich etwas nach vorne lehnt, die Knie beugt und  die Füße auf den Boden stellt.</t>
  </si>
  <si>
    <t>L83BXBLN</t>
  </si>
  <si>
    <t>[Kontext: "Die Seitenlage 1", U.a. Löffelchenstellung]ABSATZABSATZMANN Diese Stellung erlaubt tiefes Eindringen und optimalen Körperkontakt. Er kann Bauch, Brüste, Vulva, Klitoris, Hals und Rücken der Partnerin gut erreichen.</t>
  </si>
  <si>
    <t>J6ZNPM7L</t>
  </si>
  <si>
    <t>DIE SEITENLAGE 2  Etwas andere Bewegungen können in der Seitenlage viele neue Empfindungen hervorrufen. Wenn die Frau sich auf den Rücken dreht, öffnet  die Vulva sich weit und die Klitoris ist für sie und den Partner gut erreichbar. Angezogene Beine erleichtern das Eindringen.  Wenn der Mann die Stellung der Beine und Schen</t>
  </si>
  <si>
    <t>6N73PCNZ</t>
  </si>
  <si>
    <t>Frau: eine intime Geographie des weiblichen Körpers</t>
  </si>
  <si>
    <t>TBU9ZY4K</t>
  </si>
  <si>
    <t>Die äußeren Genitalien  beginnen bei beiden Geschlechtern als ein undifferenzierter Genitalhöcker, ein Gewebeknötchen, an dem sich nach unten hin ein  kleiner, von einer Membran abgeschirmter Schlitz anschließt. Ab  dem dritten Monat wächst das Fleischknötchen entweder zu einer  anmutigen Klitoris oder aber zur ausgeprägteren Gestalt einer Peniseichel heran.</t>
  </si>
  <si>
    <t>RKSEIX9P</t>
  </si>
  <si>
    <t>Als ich noch ein Säugling war, wurde meine Mutter einmal von  einer Freundin gebeten, für ein paar Stunden auf ihr Töchterchen,  das ich Susan nennen werde, aufzupassen. Meine Mutter hatte außer meiner neu geborenen Wenigkeit noch eine ältere Tochter, und  so glaubte sie (nicht ohne eine gewisse Berechtigung) schon zu  wissen, wie die Geschlechtsteile eines weiblichen Babys aussehen.  Dementsprechend verblüfft war sie, die Klitoris der Kleinen deutlich zwischen den länglichen Wülsten ihrer Schamlippen hervorlugen zu sehen, als sie Susan die Windeln wechselte. Die Klitoris  sah zwar nicht direkt wie ein Penis aus meine Mutter hatte einen  Sohn und wusste, was sie in der Hinsicht erwarten durfte -, aber  direkt mädchenhaft wirkte sie auch nicht. Sie sah wie eine Nasenspitze aus oder wie das letzte Glied eines kleinen Fingers, und als  meine Mutter sie mit einem Tuch abwischte, wurde sie zu meiner  Mutter befangener Belustigung ein bisschen steif. Meine Mutter  war von der äußeren Erscheinung von Susans hervorstehender,  aufblasbarer Klitoris nicht sonderlich angetan. Sie dachte an ihre  eigenen Töchter und daran, um wie viel lieber ihr deren Genitalien waren: so säuberlich verschlossen, die Klitoris in der speckigen Vulva gut aufgehoben, wobei jede mögliche Berührungsempfindlichkeit den Blicken entzogen blieb.</t>
  </si>
  <si>
    <t>PA4IEDET</t>
  </si>
  <si>
    <t>Frauen glauben vielleicht, ihre Klitoris ziemlich gut zu kennen.  Sie betrachten sie als eine alte Freundin. Sie meinen vielleicht sogar, es gebe irgendwo da oben eine Göttin dieses Namens: Unsere  Liebe Frau von der Immerwährenden Ekstase. Freuds Penisneid  haben sie nie geschluckt. Warum sollten sie sich eine Schrotflinte  wünschen, wenn sie eine handliche Halbautomatik haben können? Aber frage eine beliebige Frau, wie groß ihre Klitoris ist oder  wie groß die durchschnittliche Klitoris ist oder ob es diesbezüglich überhaupt irgendwelche individuellen Unterschiede gibt, und  du kannst so gut wie sicher sein, dass sie nicht einmal wissen wird,  wo sie die Messlatte anlegen oder welche Maßeinheit sie überhaupt verwenden soll.</t>
  </si>
  <si>
    <t>BSCNQIGG</t>
  </si>
  <si>
    <t>Aber spielt denn die Größe der Klitoris für uns Frauen eine Rolle? Das Mädchen, das ich Susan genannt habe, ist jetzt ungefähr in meinem Alter. Angenommen,  Susan hat noch ihre überformatige Klitoris - und wie wir weiter  unten sehen werden, ist das keineswegs so sicher -, ist sie jetzt eine  Super-Orgasmikerin, der schon die leiseste Berührung Schauder der Wollust bereitet? Ist sie die unumschränkte Herrin ihres eigenen Pläsiers, wie unzulänglich ihr Partner auch sei? Oder ist die  Masse auch hier unmaßgeblich – und ist es eine ganz andere Dimension der Klitoris, die uns den bewussten Kick verschafft?</t>
  </si>
  <si>
    <t>PUQ7EI7U</t>
  </si>
  <si>
    <t>Die Klitoris wird gewöhnlich als die weibliche Entsprechung  des Penis bezeichnet, und embryogenetisch betrachtet trifft dies  auch zweifellos zu. Sie entwickelt sich aus dem gleichen Bereich  des Geschlechtshügels, dem » Glansgebiet«&lt;, wie bei Jungen die Peniseichel. Aber die Parallele ist nicht hundertprozentig exakt. Natürlich pinkelt oder ejakuliert eine Frau nicht durch ihre Klitoris.  Sie fängt überhaupt nichts Praktisches mit ihr an. Anders als der  93 Penis ist die Klitoris keine Umkleidung der Harnröhre, sondern  schlicht und einfach ein Bündel von Nerven: 8000 Nervenfasern,  um genau zu sein. Das ist eine so hohe Konzentration von Nervenfasern, wie wir sie nirgendwo sonst im Körper antreffen, Fingerspitzen, Lippen und Zunge eingeschlossen, und sie ist doppelt  so hoch wie im Penis. In diesem Sinne also ist das »kleine Gehirn&lt;&lt;  der Frau größer als dasjenige des Mannes. Und das Ganze dient  keinem höheren Zweck, als der Frau Lustgefühle zu verschaffen.  Einzig in der Klitoris sehen wir ein Geschlechtsorgan, das so ausschließlich seiner Funktion und Aufgabe geweiht ist, dass es keines Mondlichts als eines zusätzlichen sekretions- oder exkretionsanregenden Hilfsmittels bedarf. Aus diesem Grund ist es vielleicht  wirklich klug eingerichtet, dass die Klitoris normalerweise in der  Schamspalte verborgen bleibt. Sie ist gewissermaßen ein privater Scherz, ein göttliches Geheimnis, eine Büchse der Pandora, die  nicht ein einziges Übel enthält, dafür randvoll mit Freude gefüllt  ist.  Die Füllung ist gekonnt verstaut, und so ist die Klitoris recht  klein und am besten in Millimetern zu messen. Ihre fetale Entwicklung ist in der 27. Gestationswoche abgeschlossen. Dann  sieht sie bereits so wie an der Neugeborenen aus.</t>
  </si>
  <si>
    <t>ZJV5VGF6</t>
  </si>
  <si>
    <t>94</t>
  </si>
  <si>
    <t>Wie die klassische griechische Säule ist die Klitoris ein zylindrisches Gebilde, an  dem sich drei Elemente unterscheiden lassen: Basis, Schaft und  Kapitell (oder »Köpfchen«). Aber sie ist eine Säule für Archäologen, denn ihre zwei unteren Elemente sind weitgehend verborgen,  unter der Haut der Vulva vergraben. Der Teil, den du am leichtesten sehen kannst, wenn du die Vulva öffnest, ist die Glans clitoridis, die Entsprechung des Säulenkapitells. Die Glans sitzt stolz,  vielleicht ein bisschen selbstgefällig, unter ihrem zeltförmigen  Dach: eine Kapuze, die durch die Vereinigung der inneren Schamlippen gebildet wird. Glans bedeutet »Eichel«&lt; (und clitoridis ist  schlicht der Genitiv von clitoris), womit also der Kopf der Klitoris und der des Penis den gleichen Namen tragen. Und wenn du  sie dir ganz aus der Nähe anschauen könntest, würdest du feststellen, dass die Eichel deiner Klitoris tatsächlich der eines Penis  ähnelt, dass sie dieselbe zum Herzförmigen tendierende jugendstilmäßige Wulstigkeit aufweist - auch wenn sie in Ermangelung  eines Harnröhrenausgangs nicht wie ihr größerer Kollege kyklopisch zurückstarrt.</t>
  </si>
  <si>
    <t>KP85HPXL</t>
  </si>
  <si>
    <t>Die Glans clitoridis sitzt auf dem Klitoris schaft; dieser ist nur teilweise sichtbar und verläuft dann, unter dem Muskelgewebe der Vulva, weiter aufwärts auf das Gelenk zu, das die zwei Äste des Schambeins verbindet: die uns schon bekannte Symphysis pubica. Der Schaft ist von einer Hülle aus fibroelastischem Gewebe umgeben, einer Art Miniatur-Neoprenanzug. Sie ist das, was der Klitoris Festigkeit und Substanz verleiht, das, was du unter der Haut tanzen fühlst, wenn du dir ein paar Minuten masturbatorischer Muße gönnst und die Wiese des Venushügels abwanderst.</t>
  </si>
  <si>
    <t>RN7E5NMY</t>
  </si>
  <si>
    <t>Der Schaft geht in die zwei Crura oder Schenkel der Klitoris über, die subkutan wie die Äste einer Wünschelrute auseinander streben - nach links und rechts in Richtung  Oberschenkel und einwärts in Richtung Scheide. Die Crura verankern die Klitoris an der Schambeinfuge. Glans, Schaft, Crura:  eine dreiteilige griechische Säule, deren Ordnung je nach Stimmung wechselt von der dorisch-nüchternen Würde eines Arbeitstages über die Voluten der Jonischen sich entfaltend und  gipfelnd im extravaganten mittsommerlichen Laubwerk der Korinthischen, wo Blätter und Blumen zu Faustgröße schwellen und  das Leben trunken ist von seiner eigenen saftstrotzenden flüchtigen Ewigkeit.</t>
  </si>
  <si>
    <t>KJ4AP39E</t>
  </si>
  <si>
    <t>Aufgrund ihrer weitgehend verhüllten Beschaffenheit lässt sich  die Klitoris nur schwer messen - tatsächlich ist sie leichter zu ertasten, als zu sehen -, aber die Ärzte haben diesbezüglich ihr Bestes getan und sich alle Mühe gegeben, uns entsprechende &gt;&gt;Normwerte&lt;&lt; zu liefern. In erster Linie konzentrieren sie sich auf Kopf  und Schaft der Klitoris, da diese Elemente die eigentliche Masse  des Organs ausmachen und damit auch das Einzige sind, das dem  prüfenden Finger irgendeinen spürbaren Widerstand entgegensetzt. Die durchschnittliche Säuglingsklitoris misst von der Basis  des Schafts bis zur Spitze der Glans vier bis fünf Millimeter.  Wächst der Körper, wächst die Klitoris mit und erreicht zuletzt  eine durchschnittliche Basis-Glans-Länge von 16 Millimetern.  Doch trotz aller veröffentlichten Standardwerte befleißigt sich  die Klitoris, wie alle übrigen Körperteile auch, der anarchischsten  Abweichungen von jeglicher Norm.</t>
  </si>
  <si>
    <t>UKPSE3YU</t>
  </si>
  <si>
    <t>Masters und Johnson stellten  fest, dass manche Frauen einen langen dünnen Schaft mit einem  zierlichen Eichelchen haben, andere eine ausladende Glans auf  einem kurzen dicken Schaft, und dass dazwischen so ziemlich  alle nur denkbaren Varia- und Kombinationen vorkommen.</t>
  </si>
  <si>
    <t>KUBKV64D</t>
  </si>
  <si>
    <t>Ist sie erst einmal ausgewachsen, bleibt die Klitoris bis ins hohe Alter weitgehend unverändert. Wohl kann sie sich während der Schwangerschaft vergrößern - möglicherweise infolge mechanischer und vaskulärer Veränderungen -, und oft behält sie dann ihre neuen Dimensionen auch nach der Geburt bei. Aber das Erfreuliche an der Klitoris ist, dass sie nicht sonderlich auf Östrogene anspricht und sich daher auch nicht groß darum schert, ob du die Pille nimmst oder dich einer Östrogen-Substitutionstherapie unterziehst. Und sie wird nach der Menopause auch nicht atrophieren, wie dies Vulva und Scheide tun können. Sie wird immer für dich da sein.</t>
  </si>
  <si>
    <t>B2EVV4RG</t>
  </si>
  <si>
    <t>Die Klitoris-Eichel ist der flammende Docht des Eros, der Ort,  an dem die 8000 Nervenfasern zu einem richtigen kleinen Gehirn zusammenlaufen. Viele Frauen haben eine so empfindliche Glans,  dass sie die direkte Berührung fast als schmerzhaft empfinden und  deswegen die kreisende Stimulierung des Schafts oder des ganzen  Venushügels vorziehen. Der Schaft ist relativ schwach innerviert,  dafür durchziehen ihn Tausende von Blutgefäßen, die ihn bei sexueller Erregung anschwellen und den Kopf immer höher recken  lassen. Zusätzliche Unterstützung erhalten die Expansionsbestrebungen der Klitoris durch die Bulbi vestibuli, zwei an der Basis  der kleinen Schamlippen gelegene Schwellkörper, die noch weiter  dazu beitragen, dass dem Orgänchen das Blut in den Kopf steigt.  Dergestalt durchblutet, bläht sich die lustentbrannte Klitoris zur  doppelten Größe ihrer ruhenden Erscheinungsform auf.</t>
  </si>
  <si>
    <t>5GYXKL9G</t>
  </si>
  <si>
    <t>Doch auch hier [bei der Thematisierung der Erigierbarkeit der Klitoris] sollten wir die Analogie zum Penis nicht zu weit treiben. Eine erregte Klitoris ist geschwollen und elastisch, aber so fest wie ihr penetrationsfreudiges Gegenstück wird sie nicht. Das ist uns allen bewusst. Einen intakten somatosensiblen Kortex sowie eine geeignete Gelegenheit vorausgesetzt, wird jede Frau (und jeder Mann) bestätigen, dass eine erigierte Klitoris sich nicht ganz so steif wie ein Ständer anfühlt. Das Verwunderliche dabei ist, dass der Grund für den Unterschied erst in jüngster Zeit ermittelt wurde. Im Jahr 1996 berichtete ein mit der Erforschung der Mikroarchitektur des Klitorisschafts befasstes Team von italienischen Wissenschaftlern, die Klitoris besitze, den Lehrbüchern zum Trotz, keinen Plexus venosus. Dieses im Penis durchaus vorhandene »&gt;Venengeflecht«&lt; ist der Hauptabfluss, durch den das Blut das Organ wieder verlässt. Im Zustand der Erregung aber drücken Muskeln im Penisschaft diesen Plexus zusammen, was zur Folge hat, dass zwar weiterhin Blut hineingepumpt wird, aber keines wieder abfließen kann, und siehe: Er steht. Die Klitoris hingegen scheint keinen klar umrissenen, durch Druck verschließbaren Plexus aufzuweisen; die Durchblutung des Organs ist diffuser. Erwacht die Lust, steigt zwar der arterielle Zufluss, aber da der venöse Abflusshahn nicht zugedreht wird, versteift sich die Klitoris auch nicht zur Ministange. Und warum sollte sie auch? Sie hat es nicht nötig, ihre Nase in alles reinzustecken, sich überall befugt oder unbefugt - Zutritt zu verschaffen. Und es könnte durchaus sein, dass es ebendieses relativ komplexe Durchblutungsmuster ist, das es der Klitoris gestattet, sich mühelos rasch auszudehnen und wieder zu entspannen, und damit die Bedingung jener segensreichen weiblichen Gabe darstellt: des multiplen Orgasmus.</t>
  </si>
  <si>
    <t>CM5QD3RF</t>
  </si>
  <si>
    <t>97</t>
  </si>
  <si>
    <t>Wohl aber hissten sie, bildlich gesprochen, die Flagge der Klitoris. Sie redeten wie Forschungsreisende, die auf ein verschollenes, mythisches Land gestoßen waren den Garten Eden vielleicht, so wie Lilith ihn gekannt hatte. Selbst noch in der Neuauflage aus den neunziger Jahren heißt es in dem Buch Unser Körper, unser Leben: »Bis Mitte der sechziger Jahre wussten die meisten Frauen nichts von der überragenden Bedeutung der Klitoris.&lt;&lt; Für diese Unwissenheit wurde Freud verantwortlich gemacht, der die Theorie aufgestellt hatte, der klitorale Orgasmus sei ein »infantiler&lt;&lt;, der vaginale ein »erwachsener« Orgasmus, und erst nach Verlagerung ihres Sexualstrebens von ihrem rudimentären Phallus auf die unbestreitbar weibliche Vagina könne eine Frau wahre psychosexuelle Erfüllung finden. Doch so berechtigt die Empörung über diese Theorie auch gewesen sein mag, hat die Klitoris keineswegs zu allen Zeiten ein solches Aschenputteldasein gefristet. Ebenso wenig sind die Frauen, die in den letzten Schnaufern des 20. Jahrhunderts leben, die ersten, die über die Existenz ihres kleinen Organs gejubelt haben. Ganz im Gegenteil: Freuds blödsinnige Behauptung war die Ausnahme von der Regel, ein böser Ausrutscher, ein Schandfleck in der Geschichte des Verständnisses weiblicher Sexualität. Jahrtausendelang haben Fachleute wie Amateure gewusst, welch zentrale Rolle die Klitoris für die Lust und Orgasmusfähigkeit der Frau spielt.</t>
  </si>
  <si>
    <t>HG2BR83V</t>
  </si>
  <si>
    <t>Die etymologische Bedeutung des Wortes »Klitoris &lt;&lt; ist unklar.  Es findet sich in allen modernen indogermanischen Sprachen und  stammt natürlich aus dem Griechischen. Aber darüber, wie die  Griechen selbst dazu kamen, streiten sich die Gelehrten. Egal. Nahezu alle vorgeschlagenen Wurzeln besitzen libidinöse Konnotationen. Wenn eine Quelle aus dem 2. Jahrhundert das Wort vom  Verb kleitoriazein, »lüstern erregen«, ableiten möchte, so schießt  sie zwar ein wenig über das Ziel hinaus, da es sich in Wirklichkeit  genau umgekehrt verhält. (Das Verb ist von kleitoris abgeleitet  und bedeutet schlicht »die Klitoris berühren«.) Aber die von anderen vorgeschlagene Ableitung vom griechischen Wort für  »Schlüssel«&lt;, kleis (also die Klitoris als der Schlüssel zur weiblichen Sexualität) oder aber von der Verbwurzel klinein, »sich stützen&lt;&lt; oder »&gt;neigen« (wovon auch klinê, »Bett«&lt;, abgeleitet ist) lässt der erotischen Fantasie durchaus genügend Spielraum. (In nicht  indoeuropäischen Sprachen kann das Wort für »Klitoris &lt;&lt; auch  eher auf das Aussehen als auf die Funktion des Organs anspielen.  Das chinesische Ideogramm etwa setzt sich aus yin, für »weiblich«&lt;, und ti, für »Stängel« zusammen, da der Stängel der Aubergine einer Klitoris ähnelt.)</t>
  </si>
  <si>
    <t>KIJC4YNT</t>
  </si>
  <si>
    <t>&gt;&gt;Unter den deutsch-, französisch- oder englischsprachigen Autoritäten in Freuds Zeit, aber auch zurückreichend bis zum frühen 17. Jahrhundert, war man sich einig in der Auffassung, dass die weibliche sexuelle Befriedigung in den Strukturen der Vulva im Allgemeinen und der Klitoris im Besonderen ihren Ursprung hätte«, schreibt Thomas Laqueur. »Andere Örtlichkeiten wurden nicht vorgeschlagen.« In Tönen, die gehemmte Brunftigkeit mit Prüderie verbanden, bezeichneten frühe Anatomen die Klitoris als ein »obszönes Organ viehischer Wollust«&lt; oder als »ein Instrument der Unzucht«. Im Jahr 1612 schrieb Jacques Duval über sie: »Auf französisch wird sie Versuchung, Dorn der Wollust, weibliche Rute und Männerspott genannt: und Frauen, die ihre Geilheit eingestehen, nennen sie ihr gaude mihi [freu mich].&lt;&lt; Duval erklärte nicht, wie er dazu kam, in der weiblichen Rute den »Spötter der Männer« zu sehen. Lag es vielleicht daran, dass er die Fähigkeit der Frau, sinnliches Vergnügen zu empfinden, als Bedrohung der etablierten gesellschaftlichen und sexuellen Ordnung ansah? Oder gab er vielleicht nur implizit zu, was wir Mädels gern hören möchten: Dass er (und ebenso vermutlich manch ein anderer Mann) auf Gaudemihis Monomanie eifersüchtig war? &gt;&gt;Keine unserer jüngeren anatomischen Entdeckungen«, schloss Bernard de Mandeville 1724, »deutet auf eine andere Funktion der Klitoris hin, als durch ihre häufigen Erektionen das weibliche Verlangen anzufachen.«&lt;</t>
  </si>
  <si>
    <t>2XV4KPBU</t>
  </si>
  <si>
    <t>99</t>
  </si>
  <si>
    <t>Mit Ausnahme des großen Linné, der aus unerfindlichen Gründen behauptete, einzig Menschenweibchen hätten eine Klitoris, erkannten die meisten frühen Anatomen und Naturforscher ganz  richtig, dass andere weibliche Säugetiere gleichfalls im Besitz des  Ehrfurcht gebietenden Instruments sind.</t>
  </si>
  <si>
    <t>UMWSFHK4</t>
  </si>
  <si>
    <t>Die frühen Anatomen und sonstigen Interessenten mögen die Wichtigkeit der Klitoris erkannt und gewürdigt haben, doch das bedeutet noch lange nicht, dass das Organ je - und bis auf den heutigen Tag - Gegenstand erschöpfender wissenschaftlicher Untersuchungen gewesen wäre. Nancy Friday beklagt die systematische Weise, in der die Klitoris totgeschwiegen wird, und die damit verbundene Tatsache, dass Mädchen nicht die gleichen Informationen über die anatomische Beschaffenheit ihrer Geschlechtsteile erhalten wie Jungen über die ihren und dadurch, wie sie sagt, einer »mentalen Klitoridektomie« unterzogen werden. Als die Muttergeschädigte, die sie ist, macht sie für diesen psychochirurgischen Eingriff unsere Erzeugerinnen und deren schmallippige Repressivität verantwortlich. Aber die medizinische und sonstige einschlägige Fachliteratur erweist sich in Sachen Klitoris kaum als gesprächiger. Eine Suche bei Medline, der größten medizinischen Online-Datenbank der Welt, ergab für einen Veröffentlichungszeitraum von fünf Jahren nicht mehr als knapp 60 Publikationen zum Thema Klitoris (gegenüber 1800 Treffern für den Suchbegriff »Penis«&lt;). Wissenschaftliche Monografien über unser Organ gibt es überhaupt nur zwei: Die eine ist The Clitoris, die andere The Classic Clitoris überschrieben, und beide sind schon über zwanzig Jahre alt. Selbst Lehrbücher der Gynäkologie handeln die Klitoris mit einer, bestenfalls zwei Seiten ab. Dieses offensichtlich geringe Interesse seitens der Fachwelt mag zum Teil damit zu erklären sein, dass die Medizin in erster Linie mit der Erforschung und Behandlung von Krankheiten befasst ist und die Klitoris uns in dieser Hinsicht - glücklicherweise - eher selten Grund zur Klage gibt. Aber wenigstens in den Vereinigten Staaten spiegelt dieser allgemeine Mangel an Beachtung mindestens ebenso sehr auch hundsgewöhnliche Prüderie und die darin begründete Schwierigkeit wider, Bundesgelder für die Untersuchung der Morphologie kleiner griechischer Schlüssel bewilligt zu bekommen. Die Klitoris braucht ganz offensichtlich mehr italienische Forscher.</t>
  </si>
  <si>
    <t>3CT7UUFS</t>
  </si>
  <si>
    <t>102</t>
  </si>
  <si>
    <t>Nur in einer Hinsicht hat die Klitoris in jüngerer Zeit die wissenschaftliche Neugier geweckt, und zwar bezüglich der Frage, ob  es überhaupt einen vernünftigen Grund dafür gibt, dass wir sie  haben. Vielleicht hast du selbst auch schon entsprechende Spekulationen angestellt. Vielleicht hast du schon die ollen sexuellen  Kamellen im Geist gewälzt und dich gefragt, wie es kommt, dass  die Frauen diejenigen sind, die ein ausschließlich dem sexuellen  Vergnügen dienendes Organ besitzen, wo es doch angeblich die  Männer sind, die nichts anderes als ebendieses Vergnügen im Kopf haben.</t>
  </si>
  <si>
    <t>8DEETU69</t>
  </si>
  <si>
    <t>103</t>
  </si>
  <si>
    <t>Oder vielleicht lautete deine Schlussfolgerung,  dass die Klitoris nur ein Gerücht sein müsse, kaum wirklich da,  mehr Fantasie denn Fleisch. Schließlich ist die Klitoris klein und  hebt sich von den umgebenden Fältelungen und Furchen der Vulva  kaum ab. Anorgasmischen Frauen, die noch so sehr rubbeln und  rummachen können und dennoch nicht zum Höhepunkt kommen, könnte die Klitoris tatsächlich als die überbewertetste und  irreführendste körperliche Protuberanz nach Pinocchios Nase  erscheinen. Sicher, bei manchen funktioniert sie, aber bei anderen  ist sie notorisch unzuverlässig. Marilyn Monroe, die gefeiertste  Sex-Ikone des 20. Jahrhunderts und mit Sicherheit der Auslöser  der autoeruptiven Wonnen Abertausender von Fans, gestand einer  Freundin, sie habe trotz ihrer drei Ehemänner und einer ganzen  Latte von Liebhabern noch nie einen Orgasmus erlebt. Würden  wir selbst Immanuel Kant, von dem die Sage geht, er sei jungfräulich gestorben, eine analoge sexuelle Ahnungslosigkeit zutrauen?</t>
  </si>
  <si>
    <t>UNVLA86T</t>
  </si>
  <si>
    <t>Wie es der Zufall so will, findet zurzeit eine leidenschaftliche  evolutionistisch-philosophische Debatte über Sinn und Unsinn  der Klitoris und ihres Busenfreundes, des weiblichen Orgasmus,  statt. Die Humanbiologen fragen sich, ob die Fähigkeit, einen Orgasmus zu erleben, der Frau irgendetwas einbringe und somit als Resultat eines langen Anpassungs- und Selektionsprozesses gewertet werden könne - oder aber ob sie, mit Stephen Jay Gould  zu sprechen, ein »prächtiges Zufallsprodukt« sei. Diese Debatte  ist ein astreiner dreckiger intellektueller Witz, ungleich amüsanter, als wie seinerzeit in den siebziger Jahren beschworen zu werden, uns einen Spiegel zu holen und unsere Genitalien selbst zu  inspizieren. Sie verleiht der Klitoris eine heitere neue Bedeutungsnuance.</t>
  </si>
  <si>
    <t>TBRVZFIP</t>
  </si>
  <si>
    <t>Manche Forscher haben schwarz auf weiß die Vermutung geäußert, der weibliche Orgasmus könnte so überflüssig sein, dass er möglicherweise kurz davor stehe, vollends wegselektioniert zu werden. Ein winzig kleiner Fehltritt auf der Evolutionsleiter, und diese Nervenfasern könnten für immer verstummen.</t>
  </si>
  <si>
    <t>AVC5ETLC</t>
  </si>
  <si>
    <t>104</t>
  </si>
  <si>
    <t>Lasst uns einen leidenschaftslosen Blick auf die klitorale Bilanz werfen und die Theorien über die mögliche Herkunft des Organs einer nüchternen Prüfung unterziehen. Dann mag jede für  sich selbst entscheiden, ob sie sich im Vertrauen auf seine bleibende Bedeutung entspannen kann oder ob es langsam an der Zeit  ist, der Göttin Klitoris und ihren Stellvertreterinnen auf Erden,  Bonobo à gogo, ein paar Bittopfer darzubringen.</t>
  </si>
  <si>
    <t>2Y9K763R</t>
  </si>
  <si>
    <t>Drei grundsätzliche Wahrheiten gilt es in Bezug auf die Klitoris  und den weiblichen Orgasmus im Sinn zu behalten. Geben wir es  ruhig gleich an erster Stelle zu: Der weibliche Orgasmus ist entbehrlich. Ein Mann (oder männliches Tier) muss in der Regel zum  Orgasmus kommen, um sich fortpflanzen zu können, während  eine Frau problemlos schwanger werden kann, auch wenn sie  nicht das Geringste empfindet oder sogar, im Fall einer Vergewaltigung, nichts als Abscheu und Angst fühlt. Zweitens: Der weibliche Orgasmus ist launisch. Die Verlässlichkeit und Frequenz seines Auftretens sind von Frau zu Frau sehr variabel. Drittens: Es  gibt da das Problem mit der Homologie der Geschlechtsteile - die Tatsache, dass Klitoris und Penis sich aus dem gleichen embryonalen Geschlechtshügel entwickeln.  Aber damit sind wir mit den Triaden noch nicht durch. Die genannten physiologischen Wahrheiten legen ihrerseits drei mögliche evolutionistische Kategorien nahe, unter welche sich unser  Star-Organ einordnen ließe - drei vertretbare Antworten auf die  Frage, warum es die Klitoris überhaupt gibt und warum sie tut,  was sie tut (oder manchmal auch nicht).</t>
  </si>
  <si>
    <t>7F4RQYB7</t>
  </si>
  <si>
    <t>[Kontext: Erklärungsansätze zur Existenz und Relevanz der Klitoris]ABSATZABSATZ1. Die Klitoris ist ein rudimentärer Penis. Ein Mädchen hat deswegen eine, weil der Körper inhärent zweigeschlechtlich ist, als Embryo darauf angelegt, entweder männliche oder weibliche Geschlechtsorgane zu entwickeln. Wenn sie zu einem Jungen hätte werden sollen, hätte sie einen funktionsfähigen, ejakulierenden, innervierten Penis gebraucht. So aber bekam sie ein Penisrudiment, einen kleinen Knubbel von sensorischem Gewebe mit der gleichen neuronalen Grundausstattung, die sich auch in einem richtigen Phallus findet. Demnach ist die Klitoris wie die männliche Brustwarze ein Atavismus: die kaum noch erkennbare Andeutung dessen, was hätte sein können, aber eigentlich nicht mehr zu sein braucht. Nach dieser Erklärung stellen Klitoris und weiblicher Orgasmus keine Anpassungsleistung dar. Der ejakulationsfähige Penis alias DNS-Ausgabegerät ist die Anpassungsleistung, der Zweck der Übung. Die Klitoris ist lediglich der Trostpreis.</t>
  </si>
  <si>
    <t>EKX3XGE8</t>
  </si>
  <si>
    <t>105</t>
  </si>
  <si>
    <t>[Kontext: Erklärungsansätze zur Existenz und Relevanz der Klitoris]ABSATZ2. Die Klitoris ist eine rudimentäre Klitoris. Das soeben skizzierte Szenario besagt, dass die Klitoris keine »Anpassung&lt;&lt; darstellt und auch niemals dargestellt hat. Sie ist ein rudimentärer Penis. Eine andere These lautet, dass die Klitoris heute vielleicht keinen erkennbaren praktischen Nutzen hat, in der Vergangenheit aber durchaus eine Anpassungsleistung war und mit der Pracht einer ganzen gottverdammten byzantinischen Kuppel erstrahlte. Nach dieser Theorie verhielten sich unsere Urschwestern nicht viel anders als die Bonobos, das heißt, sie setzten die Sexualität als ein Allzweckinstrument ein um Freundschaften zu schließen, um Wogen zu glätten, um einer beliebigen Anzahl von Partnern Fleisch und andere Gunstbezeigungen zu entlocken und um Vaterschaftsklagen zu erschweren. Die Klitoris gab den Urmenschenweibchen einen Anreiz zum Herumexperimentieren, dazu, sich unverbindlich umzusehen, die erotische Entrepreneuse zu spielen. Diese Hypothese könnte erklären, warum Frauen so langsam in Fahrt kommen. Ihre Sexualität ist auf serielle Begegnungen mit einer Reihe verschiedener männlicher Schnellschießer angelegt: Also gut, der hat's nicht ganz gebracht. Dann mache ich mich eben auf und klappere die Savanne ab und nehme mir den Nächsten zur Brust.</t>
  </si>
  <si>
    <t>5GRA2KD3</t>
  </si>
  <si>
    <t>106</t>
  </si>
  <si>
    <t>[Kontext: Erklärungsansätze zur Existenz und Relevanz der Klitoris; Ausführungen zur 2. Theorie (Die Klitoris war mal bedeutsam und größer, mangels Nutzen schrumpft sie evolutionär gerade)]ABSATZSarah Blaffer Hrdy, eine meiner Lieblingsevolutionsbiologinnen, ist eine Verfechterin dieser Es-war-einmal-Theorie. So wie sie die Sache sieht, ist das launische Gebaren des Organs, sein Angewiesensein auf fortgesetzte - und möglicherweise kollektive Aufmerksamkeit, wenn es sein Bestes geben soll, ein deutliches Indiz dafür, dass es sich gerade im Übergangsstadium vom Anpassung- zum Nichtanpassung-Sein befindet. Frau Hrdy argumentiert folgendermaßen: Wenn der weibliche Orgasmus wirklich, wie das alte Märchen besagt, ein zentrales Element der monogamen Lebensweise und der Paarbindung wäre - wenn sein Zweck darin bestünde, zur Herausbildung und Vertiefung einer innigen Beziehung zwischen zwei liebenden Partnern beizutragen dann wäre die menschliche Klitoris weit effizienter, als sie es ist. Dann würde sie allein auf die Kopulationsbewegungen sofort ansprechen und würde Ruhe geben, sobald der Mann fertig ist. Tatsächlich aber ist nur die Minderheit der Frauen im Stande, durch bloẞes Ruck-zuck-Gerammel zum Orgasmus zu kommen. Die meisten sind schon auf etwas Vorarbeit angewiesen. Hinzu kommt noch die Asymmetrie zwischen den Grenzen der männlichen Standfestigkeit und der Scherzgeburtstagskerze der Frau, dieses verfluchten Flämmchens, das immer wieder hochzuckt, egal wie fest du pustest. All dies gibt guten Grund zu der Vermutung, dass die Menschenfrauen einst promiskuöse, begehrliche, bindungslose Diplomatinnen waren, wie es viele Primatenweibchen noch heute sind. Sie vergnügten sich mit so vielen Partnern, wie sich technisch bewerkstelligen ließ, und nahmen die Risiken, die mit der Vielpaarerei einhergehen, in Kauf, um dadurch die laut Hrdy weit ernstere und stets gegenwärtige Gefahr des Infantizids zu verrin106 gern die Tendenz vieler männlicher Tiere nämlich, Nachkommen, an deren » Ehelichkeit« sie zweifeln, kurzerhand umzubringen. So könnten unsere Ahninnen durchaus ihren lateinischen Zitatenschatz ein bisschen durcheinander gemischt und ausgerufen haben: »Ich sah, ich kam, ich siegte!&lt;&lt; In der heutigen Welt gewinnt eine Frau kaum an Stärke, wenn sie wie ein Berberaffenweibchen herumpoussiert, und in manchen Kulturen wird solch sittenloses Verhalten sogar mit dem Tod bestraft. So gesehen, könnte es einen Anachronismus bedeuten, die Klitoris noch immer für unser bestes Stück zu halten. Und tatsächlich mutmaßen Hrdy und andere, das Organ sei als Folge des Umstands, dass sein gruppendynamischer und fortpflanzungsspezifischer Zweck nicht länger zum Tragen kam, im Laufe der Jahrtausende langsam zusammengeschrumpft. Es habe sich immer weiter hinter seinen vorhäutigen Vorhang zurückgezogen. Wenn der Trend noch weiter anhält... doch nein, ich will es nicht aussprechen. In dem Fall werde ich mich nur hinsetzen und schreien.</t>
  </si>
  <si>
    <t>HYQPRZ8J</t>
  </si>
  <si>
    <t>107</t>
  </si>
  <si>
    <t>[Kontext: Erklärungsansätze zur Existenz und Relevanz der Klitoris]ABSATZ3. Die Klitoris ist die Musik Johann Sebastian Bachs. Schon wiederholt habe ich beim Anhören Bachscher Musik gedacht: Ohne das gäbe es nichts. Ich habe gelauscht und gedacht: Es war unvermeidlich. Die Evolution hat kein Ziel – mit einer möglichen Ausnahme: der Welt die Brandenburgischen Konzerte Nr. 2 und 5, die Goldberg-Variationen und das Wohltemperierte Klavier zu schenken. Die Dinosaurier starben aus, auf dass Bach leben möchte. Mit anderen Worten: Die Klitoris ist eine Anpassungsleistung. Sie ist unverzichtbar oder zumindest sehr zu empfehlen. Sie ist vielseitig, großzügig, fordernd, tiefgründig, leicht und dauerhaft. Sie besitzt eine chamäleontische Fähigkeit, ihre Bedeutung den jeweiligen Umweltbedingungen anzupassen. Wie Bachs Musik lässt sie sich immer wieder neu interpretieren und aktualisieren. Vielleicht sollten wir also die Erörterung dieser These mit einer simplen Frage beginnen: Würden heute sechs Milliarden Menschen den Planeten bevölkern, wenn die Frauen nicht auf Sex aus wären? Und wie, bitte schön, sollten sie eine Fuge spielen, wenn ihre Orgel keine Pfeifen hat?</t>
  </si>
  <si>
    <t>67I7I8E3</t>
  </si>
  <si>
    <t>Die Verfechterinnen der These, die Klitoris habe durchaus  einen Sinn und Zweck - sie stelle eine Anpassung dar und sei  durch Selektion zu einem artübergreifenden Geschlechtsmerkmal  107 geworden -, fangen ihre Argumentation damit an, dass sie bestimmte Annahmen auf den Kopf stellen. Wir sagten weiter oben,  grundsätzlich müsse der Mann den Orgasmus erreichen, um sich  fortpflanzen zu können, und damit schiene es klar zu sein, dass  der männliche Orgasmus ein Resultat natürlicher Auslese darstelle. Meredith Small, eine Primatologin, die immer wieder gern  biologische »Wahrheiten« in Frage stellt, hat allerdings zu Recht  darauf hingewiesen, dass der männliche Orgasmus keine notwendige Bedingung der Insemination darstellt. Der Penis beginnt  bereits lange vor der eigentlichen Ejakulation, lebensfähige Spermien auszustoßen, und diese Vorwitzlinge können sich ohne weiteres bis zur Eizelle durchschwänzeln - was auch erklärt, warum  der Coitus interruptus eine so unzuverlässige Form der Empfängnisverhütung ist.  Außerdem: Wer sagt, dass das subjektive Orgasmuserlebnis tatsächlich eine notwendige Bedingung darstellte, als die physiologisch-anatomischen Details der männlichen Konstruktion evolutionär ausgewählt wurden? Wie der Archäologe Timothy Taylor  angemerkt hat, könnte das männliche Tier das Weibchen theoretisch ohne weiteres auch auf dem Weg simplen »Samenlassens&lt;&lt;  befruchten, durch Verabreichung einer Art subkutaner Injektion  oder wie auch immer, jedenfalls ohne irgendwelche ekstatischen  Begleiterscheinungen. Es spricht einiges dafür - vor allem das vergleichsweise einfach aufgebaute Nervensystem -, dass Insektenmännchen das Zeugungsgeschäft auf eben eine solch sachliche  Weise erledigen, dass sie ihr Samenpaket ebenso lustfrei übergeben, wie die Weibchen später ihre Eier ablegen. Wenn aber das  Orgasmuserlebnis bei »höher stehenden«&lt; Männchen aus anderen  denn rein technischen Gründen entwickelt wurde - wenn wir also  die Raison d'être männlicher Lust als vollkommen losgelöst von  der konkreten Aufgabe der Gametenübertragung betrachten -,  dann ist auch das Hauptargument für die These, der weibliche Orgasmus sei das rudimentäre Überbleibsel eines beim Mann  unverzichtbaren Merkmals, nicht mehr aufrechtzuerhalten.</t>
  </si>
  <si>
    <t>DXWSSACT</t>
  </si>
  <si>
    <t>109</t>
  </si>
  <si>
    <t>Wenn wir darin übereinstimmen, dass Klitoris und weiblicher  Orgasmus Anpassungscharakter haben, können wir uns nun den  Details ihrer jeweiligen Leistung zuwenden. Gehen wir also davon  aus, dass die Klitoris existiert, um uns Lust zu verschaffen, und  dass die Lust uns den Anreiz liefert, nach sexueller Betätigung zu  streben - dass wir ohne die Aussicht auf eine hinlänglich hohe Belohnung völlig zufrieden damit wären, zu Hause zu bleiben und  uns der Pflege unserer Zähne zu widmen. Als Nächstes müssen  wir uns noch einmal mit dem Problem der Frustration befassen,  der Häufigkeit, mit der die Klitoris uns im Stich lässt. Warum  müssen wir uns für unser großes Finale so viel mehr in die Riemen  legen als die Männer? Die Klitoris ist launisch: Sie kann so genial  sein und sich gleichzeitig so dämlich anstellen. Oder ist sie vielmehr eine Kassandra, die uns Wahrheiten offenbart, die wir zu  unserem eigenen Schaden ignorieren?</t>
  </si>
  <si>
    <t>IZVNRRDI</t>
  </si>
  <si>
    <t>Wie ich die Sache sehe, lassen sich alle Probleme, mit denen  wir uns bislang befasst haben – die scheinbare Flatterhaftigkeit und Sturheit der Klitoris, ihr mangelhaftes Angepasstsein an die männliche Reaktionskurve und ihr von Frau zu Frau erheblich variierendes Leistungsniveau -, durch die Aufstellung einer simplen  Hypothese lösen: dass die Klitoris den Zweck hat, ihre Trägerin  dazu zu ermutigen, ihr Sexualleben selbst in die Hand zu nehmen.  Zugegeben, die Idee klingt wie eine These aus einem feministischen Manifest, und Körpergewebe gehört keiner politischen  Gruppierung an. Wohl kann es aber seine Stimme durch sein Verhalten abgeben: Bestleistungen erbringen, wenn du es richtig behandelst, und streiken, wenn es sich missbraucht oder missverstanden fühlt. Und tatsächlich gibt die Klitoris dann ihr Bestes,  wenn die Frau sich lebendig und stark fühlt, wenn über ihr - wenn  schon nicht buchstäblich, so doch zumindest bildlich - nur noch  der Himmel ist. Die Klitoris verabscheut es, verschreckt und herumgestoßen zu werden.</t>
  </si>
  <si>
    <t>YPW6QXTC</t>
  </si>
  <si>
    <t>Die Klitoris lässt sich nicht hetzen oder herumkommandieren. Eine Frau, die sich sorgt, weil es bei ihr länger dauert, als ihr Partner es möglicherweise verkraften kann, wird umso länger  brauchen. Eine Frau hingegen, die aufhört, im Kopf auf den Fahrplan zu starren, sendet eine unterschwellige Botschaft an ihre Klitoris »Ich bin bereit!«&lt; -, und binnen weniger Sekunden kommt  ihr Zug hereingerauscht.  Die Klitoris liebt die Macht, und sie strebt nach immer neuer  Bestätigung des Gefühls, dass sie das Sagen hat. Die Anthropologin Helen Fisher hat herausgefunden, dass Frauen, die leicht und  mehrfach hintereinander zum Orgasmus kommen, ein Merkmal gemeinsam haben: Sie übernehmen die Verantwortung für ihre Befriedigung.</t>
  </si>
  <si>
    <t>7UWRTCWX</t>
  </si>
  <si>
    <t>Die Klitoris applaudiert nicht lediglich, wenn ihre Herrin ihre  Meisterschaft vorführt; sie spendet regelrecht Standing Ovations.  Im multiplen Orgasmus sehen wir den schönsten Beweis dafür,  dass Unsere Liebe Frau vom Venusberg wirklich denen hilft, die  sich selbst zu helfen wissen. Den ersten Höhepunkt zu erreichen  kann unter Umständen viele Minuten in Anspruch nehmen. Doch  ist die lustige Bergsteigerin erst einmal angekommen, kann sie sich  den Schwingen überlassen, die sie dort oben erwarten. Sie braucht  nicht erst wieder ins Tal zu kraxeln, um den nächsten Gipfel zu besteigen, sondern kann dank der Thermik der Wonne wie ein  Adler weitergleiten.</t>
  </si>
  <si>
    <t>BPMQTQKV</t>
  </si>
  <si>
    <t>Die innige Beziehung, die zwischen der seelisch-geistigen Verfassung einer Frau und ihrer klitoralen Leistungsfähigkeit erkennbar wird, bedeutet, dass die Klitoris ans Gehirn - das »&gt;richtige&lt;&lt;,  große Gehirn angeschlossen werden muss, ehe sie losjubeln  kann. Das Gehirn muss genauso lernen, sein Steckenpferdchen zu  reiten, wie es lernen muss, seinen Körper auf einem Fahrrad im  Gleichgewicht zu halten. Manche Frauen finden schon in der  Kindheit heraus, wie sie zum Höhepunkt gelangen, während andere den Zusammenhang erst als Erwachsene herstellen lernen.  Das ist allerdings keine physikalisch-technische Aufgabenstellung. Du kannst sie nicht allein mit deinem Neokortex lösen, dieser dick gefältelten Hirnoberschicht aus fischgrauem Gewebe, die  fortwährend grübelt und zögert und jeden Impuls hinterfragt. Du  musst dich mit einer älteren, archaischeren Schaltstelle in Verbindung setzen, dem Hypothalamus - dem an der Unterseite deines  Großhirns, ein paar Zentimeter hinter deinen Augäpfeln gelegenen Teil des Zwischenhirns, der über den Appetit regiert, den  Appetit auf Nahrung, Salz, Macht, Sex. Bisweilen erfordert der  Anschluss der Klitoris an den Hypothalamus eine Umleitung: eine  Umgehung des Neokortex. Der Neokortex ist intelligent und  herrschsüchtig, und dies kann so weit gehen, dass er seiner EigenIII tümerin das Recht abspricht, die letztendliche Kontrolle zu behalten. Die Kontrolle, von der ich spreche, betrifft eine ganzheitliche,  das gesamte Gehirn begreifende Operation, eine heikle Verhandlung zwischen &gt;&gt;Neo-« und »Ur-«, zwischen Intellekt und Verlangen. Wenn eine Frau also unter einem zu stimmgewaltigen Neokortex leidet, muss sie ihm auf die eine oder andere Weise den  Mund so lange stopfen, dass Hypothalamus und Klitoris Zeit  haben, ihre neue Partnerschaft zu besiegeln. Alkohol könnte den  Job erledigen, wenn er nicht eine so stark sedierende und abstumpfende Wirkung auf das gesamte Nervensystem hätte. Effektiver sind da Drogen, die den Intellekt ablenken, ohne die Relaisstationen unseres Bioelektrizitätswerks in ihrer Leistung zu  beeinträchtigen. Die meisten dieser Drogen unterliegen leider dem  Betäubungsmittelgesetz. Methaqualon (Quaalude) soll ein unglaubliches Aphrodisiakum gewesen sein, aber Quaalude-Tabletten sind nicht mehr erhältlich. Sie waren einfach zu gut, das heißt zu gefährlich, und so mussten sie aus dem Handel genommen werden. Aber das Marihuana haben Die-da-oben uns noch nicht  genommen, und Marihuana kann ein wahrer Sexual-Guru und  begnadeter Elektroinstallateur in einem sein, der Frauen, die Jahre und Jahre in eiskalter Dunkelheit zugebracht hatten, die Lichter des Broadway bringt.</t>
  </si>
  <si>
    <t>LL6A2IQ2</t>
  </si>
  <si>
    <t>Es dürfte uns eigentlich nicht verwundern, dass die Klitoris die Macht liebt oder dass sie einen so komplizierten Charakter hat. Für Frauen ist Sexualität schon immer eine risikoreiche Angelegenheit gewesen. Wir können schwanger werden, wir können uns eine Geschlechtskrankheit holen, wir können uns unsere strammen Lactos verscherzen. Gleichzeitig sind wir Primaten. Wir setzen unsere Sexualität zu weit mehr als nur zum Zweck der Fortpflanzung ein. Wir mögen keine Bonobos sein, aber wir sind mit Sicherheit auch keine einmal pro Jahr lammenden Schafe. Da wir verwundbar sind, brauchen wir effektive Schutzvorrichtungen. Die Klitoris ist unsere weise Ratgeberin. Sie lässt uns wissen, dass Freude eine ernste Angelegenheit ist und dass wir unser Licht, unsere sexuelle Brillanz, nicht unter den Scheffel stellen dürfen. Die Klitoris verarbeitet Informationen aus unterschiedlichen bewussten und unbewussten Quellen - aus der Großhirnrinde, dem Hypothalamus, dem peripheren Nervensystem - und reagiert entsprechend. Wenn du verängstigt bist, stellt sie sich tot. Wenn du desinteressiert oder angewidert bist, bleibt sie stumm. Wenn du erregt und stark bist, wird sie zu einem strammen kleinen Dirigentenstab, der selbstsicher Takt und Tempo angibt, hier schmeichelt, dort antreibt, andante, allegro, crescendo, da capo all'infinito.</t>
  </si>
  <si>
    <t>GLKFIS33</t>
  </si>
  <si>
    <t>Dennoch besteht kein Zweifel, dass der weibliche Sexualtrieb ein komplexes Instrument ist. So vieles beeinflusst ihn: Geistestätigkeit, Stimmung, frühere Erfahrungen, die Erinnyen. Und im Auge dieses ganzen Sturms von Eindrücken sitzt die Klitoris. Sie weiß mehr als die Vagina und ist  dementsprechend eine zuverlässigere Ratgeberin als diese - erinnert euch, dass eine Frau während einer Vergewaltigung feucht  werden kann, dass sie aber so gut wie nie einen Orgasmus erleben wird. Es leuchtet ein, dass es für eine Frau sinnvoller ist, einen wählerischen Geschlechtstrieb zu haben als einen völlig unkritischen oder umgekehrt einen gehemmten.</t>
  </si>
  <si>
    <t>Q9QLEWSC</t>
  </si>
  <si>
    <t>114</t>
  </si>
  <si>
    <t>Die Klitoris ist flexibel. Sie kann sich unterschiedlichen Lebensräumen, unterschiedlichen kulturellen Normen anpassen. Bei unseren Ahninnen, die einer - für Primaten charakteristischen - vergleichsweise promiskuitiven Lebensweise anhingen, könnte die  Klitoris tatsächlich, wie Hrdy sagte, ein unermüdliches Herumexperimentieren angeregt haben. Anders als Hrdy glaube ich allerdings, dass die Klitoris sich den heutigen Restriktionen der Mo  nogamie ebenso gut anpassen kann: dass sie durchaus die Bande der Liebe und Ehe festigen kann wenn diese Bande den Interessen der Frau förderlich sind. In den Vereinigten Staaten, einem Land, in dem der Institution der Ehe eine fast ans Lächerliche  grenzende Bedeutung beigemessen wird, scheinen verheiratete  Frauen überdurchschnittlich orgasmusfähig zu sein.</t>
  </si>
  <si>
    <t>IP6PGY7K</t>
  </si>
  <si>
    <t>Auch ein weiterer Komplex von Forschungsergebnissen spricht dafür, dass die Klitoris mit der Währung »Macht« spekuliert. Eine jüngst von den britischen Wissenschaftlern Robin Baker und  Mark A. Bellis durchgeführte Studie legt die Vermutung nahe,  dass der Orgasmus der Frau eine erstaunliche Möglichkeit bietet,  die Kontrolle über das männliche Sperma auszuüben, indem sie  es aktiv in sich einsaugt oder aber abstößt. Die Forscher glauben,  II4 dass das Timing des weiblichen Orgasmus in Relation zur männlichen Ejakulation mit darüber entscheidet, ob der Samen eine  Chance bekommt, das Ei zu befruchten, oder nicht.</t>
  </si>
  <si>
    <t>6M2Q54VH</t>
  </si>
  <si>
    <t>In diesem Kapitel habe ich die Begriffe »&gt;Klitoris«, »weiblicher  Orgasmus &lt;&lt; und »weibliche Sexualität« fast synonymisch verwendet, und so wie ich die Sache sehe, sind die drei Dinge zumindest  nicht voneinander zu trennen. Die Klitoris ist das Herz der weiblichen Sexualität, und wir müssen jeden – freudianischen oder  sonstigen - Versuch, ihre Bedeutung zu schmälern, aufs Entschiedenste zurückweisen. Doch die Klitoris transzendiert ihre eigenen anatomischen Grenzen. Andere Nervenbahnen münden in sie und  werden von ihr gespeist. Die fünfzehntausend Fasern des Nervus  pudendus, die den gesamten unteren Beckenraum versorgen, stehen in enger Wechselwirkung mit den Nervenbündeln der Klitoris. Dies erklärt, warum auch der After eine erogene Zone ist. Nerven sind wie Wölfe: Heult einer auf, fällt die gesamte Nachbarschaft in den Gesang ein.</t>
  </si>
  <si>
    <t>LCIW74NP</t>
  </si>
  <si>
    <t>Bei manchen Frauen ist die nähere  Umgebung des Harnröhrenausgangs außerordentlich reizbar, und  da dieses periurethrale Gewebe während des Koitus recht energisch direkt und indirekt - beansprucht wird, könnte eine solche Hypersensibilität bewirken, dass die Frau bereits durch die  bloßen Rein-raus-Bewegungen des Penis, also auch ohne spezielle  Klitorisreizung, problemlos zum Orgasmus kommt.</t>
  </si>
  <si>
    <t>HJILJT58</t>
  </si>
  <si>
    <t>ieder andere halten die Existenz  einer eigenständigen, anatomisch lokalisierbaren G-Zone überhaupt für fraglich. Wozu sollten wir uns die Mühe machen, neue  erogene Zonen zu erfinden, sagen sie, wenn die vorhandene Infrastruktur bereits vollkommen genügt? Die Wurzeln der Klitoris reichen schließlich tief und könnten ohne weiteres auch von der Innenseite der Scheide her stimuliert werden. Mit anderen Worten:  Der berühmte G-Punkt könnte schlicht und einfach das andere  Ende der Klitoris sein.</t>
  </si>
  <si>
    <t>NIPG5532</t>
  </si>
  <si>
    <t>Die Klitoris ist komplex. Sie ist nie bloß eine Klitoris. Wie ihre  Durchblutungsrate steht ihre Größe in keinem erkennbaren Verhältnis zu ihrem Potenzial. Sicher, ein Bonoboweibchen hat eine  gigantische Klitoris, aber die Größe seines guten Stücks könnte  genauso gut eher eine schlichte Signalwirkung für männliche Interessenten bezwecken als einen - gemessen an einem Menschenweibchen stärkeren Lustgewinn für die Trägerin. Bislang hat  noch niemand untersucht, ob Frauen mit großer Klitoris stärkere  und/oder häufigere Orgasmuserlebnisse haben. Wohl ist aber eine  andere Sorte von »Experimenten« durchgeführt worden, die ein  gewisses Licht auf die Frage werfen, ob die Funktion der Form  folgt. Kindern mit ungewöhnlich großer Klitoris wird ihr Auswuchs chirurgisch reduziert zurückgestutzt, tiefergelegt oder  gleich ganz amputiert. Dies sind zwar keine Eingriffe, die wir normalerweise mit der aufgeklärten und fortschrittlichen westlichen  Medizin in Verbindung bringen würden, aber nichtsdestoweniger finden solche Klitoridektomien vergleichsweise häufig statt.  Allein in den Vereinigten Staaten werden jährlich an die zweitausend weibliche Babys in der einen oder anderen Weise chirurgisch »&gt;überarbeitet«&lt;, damit ihre nach Ansicht der Ärzte abnorm vorstehende Klitoris nicht mehr so ins Auge falle. Es existieren zwar keine amtlichen Normen zur Feststellung dessen, was den Tatbestand der Klitorishypertrophie erfülle, aber alles, was über die  verschwiegenen Lippen der Vulva hinausragt, ist ein Kandidat für  eine Klitorisamputation. Wenn ein Baby mit zweideutigen Geschlechtsteilen auf die Welt kommt, war und ist eine chirurgische  Korrektur das normale Prozedere.</t>
  </si>
  <si>
    <t>UXVKIIWN</t>
  </si>
  <si>
    <t>Manchmal  werden an solchen jungen Patientinnen gleichzeitig auch andere chirurgische Korrekturen vorgenommen, etwa die Öffnung einer  geschlossenen Scheide, die Reparatur einer verwachsenen Harnröhre oder die Entfernung missgebildeten gonadalen Gewebes.  Während solche Operationen durchaus sinnvoll und zum Teil sogar unerlässlich für die Gesundheit des Kindes sind, hat eine Klitorisreduktion keine andere »Rechtfertigung« als ästhetische Erwägungen. Eine große Klitoris tut niemandem weh, mit Sicherheit  nicht dem Baby. Aber sie sieht eben komisch aus, penisartig, obszön, und den Eltern wird stets nahe gelegt, sie möglichst früh entfernen zu lassen, damit die arme Kleine später nicht unter den  möglichen seelischen Traumata zu leiden habe, die eine Ungewissheit bezüglich ihrer Geschlechtszugehörigkeit mit sich bringen  könnte. Und so dürfen wir uns fragen: Was geschieht mit Mädchen, deren Klitoris chirurgisch verkleinert oder kauterisiert  wird? Verlieren sie die sexuelle Empfindungsfähigkeit? Kann eine  Frau einen Orgasmus haben, wenn sie keine Klitoris mehr besitzt?  Die Klitoris ist komplex.</t>
  </si>
  <si>
    <t>WWLJZ2QZ</t>
  </si>
  <si>
    <t>Und die Resultate der noch immer andauernden Umfrage zu den psychophysischen Folgen einer chirurgischen Korrektur von Klitorishypertrophie sind uneinheitlich. Als Beispiel die zwei folgenden Fälle: Cheryl Chase ist eine Computeranalytikerin von Anfang vierzig. Sie trägt das Haar kurz, dazu eine Nickelbrille, Ohrgehänge und einen leuchtend auberginefarbenen Lippenstift. Sie ist auf eine unaufdringliche Weise attraktiv und von einer messerscharfen Intelligenz. Und sie ist wütend. Wie sie sagt, wird sie wohl noch auf dem Sterbebett wütend sein. Cheryl hat zwei X-Chromosomen, die übliche weibliche Ausstattung, und heute könnte man sie auch für nichts anderes als eine Frau halten. Aber aus unbekannten Gründen kam sie mit hermaphroditischen Gonaden teils Eierstock, teils Hoden- und einer so großen Klitoris auf die Welt, dass die Ärzte ihren Eltern zunächst sagten: Es ist ein Junge. Ein knappes Jahr später erkannten Ärzte in einem anderen Krankenhaus: Moment mal, das Kind hat eine normale Scheide nebst Gebärmutter und Eileiter – es ist ein Mädchen. Sie erklärten ihren Eltern: Die anderen Ärzte haben sich geirrt. Sie haben eine Tochter, keinen Sohn. Sie werden ihr einen neuen Namen geben müssen, mit ihr in eine andere Stadt ziehen und wieder von vorn anfangen. Aber geben Sie uns zuerst noch rasch Ihre Einwilligung zu einer kleinen Korrektur ihres Genitales. Nicht lange gezögert. Stattgegeben. »Sie haben mir die Klitoris auf der Stelle entfernt«&lt;, sagt Cheryl mit der leisen Stimme einer Frau, die mit zusammengebissenen Zähnen spricht. »Sie haben an der Teilung der Crura geschnitten, dort, wo die Nerven in den Klitorisschaft münden. Mir ist ein kleiner Rest der Crura geblieben, aber keinerlei Innervierung. Folglich auch keinerlei Gefühl.« Cheryl ist Lesbierin. Sie hat ein aktives Sexualleben, doch einen Orgasmus hat sie noch nie erlebt. Sie hat alles versucht. Sie hat zahllose Ärzte angeschrieben und sie angefleht nachzusehen, ob sie in den Überresten ihrer Klitoris nicht irgendwelche Nervenfasern finden könnten, die sich reaktivieren, wieder zum Leben erwecken ließen.</t>
  </si>
  <si>
    <t>UTLHHIFF</t>
  </si>
  <si>
    <t>Auch Martha kam mit einer zu groß geratenen Klitoris auf die Welt eine Folge der hohen Dosen Progesteron, die ihre Mutter während der Schwangerschaft zur Verhütung einer Fehlgeburt eingenommen hatte. Als Säugling hatte Martha eine Klitoris von 1,5 Zentimeter Länge: das dreifache der »normalen« Größe. Nicht direkt ein Fall von Hypertrophie, aber ihre Eltern entschieden, dass sie nicht mit einem so auffälligen Knubbel eingeschult werden sollte, um möglichen Hänseleien vonseiten ihrer Klassenkameradinnen vorzubeugen. Und so wurde sie im Alter von sechs Jahren zurückgestutzt. »Die Ärzte haben die Klitoris an der Basis abgeschnitten«, sagt Martha. »Wenn Sie mich jetzt sehen würden, würden Sie sofort merken, dass da irgendetwas fehlt.« Doch auch wenn das Fleisch dahin ist, lebt der Geist doch weiter. »Ich habe emotionale Narben«&lt;, sagt Martha, »aber ich bin nicht verbittert. Der Grund dafür ist ganz einfach. Ich habe weiterhin klitorale Empfindungen. Ich kann zum Orgasmus kommen.&lt;&lt;</t>
  </si>
  <si>
    <t>6S8REJND</t>
  </si>
  <si>
    <t>Cheryl und Martha versuchen durch unermüdliche Aufklärungsarbeit zu verhindern, dass an Babys mit intersexuellen Genitalien plastisch-chirurgische Eingriffe vorgenommen werden,  wie sie selbst sie erleiden mussten. Sie und ihre Mitaktivistinnen  üben Druck auf den Kongress aus, damit endlich ein Gesetz verabschiedet wird, das die Klitoridektomie an Patientinnen, die zu  jung sind, um ihre Einwilligung zu dem Eingriff zu geben (oder  empört zu verweigern), unter Strafe stellen soll. Noch ist ein solches Gesetz nicht in Sicht, aber zumindest gelingt es Cheryl Chase  und ihren Mitstreiterinnen, immer mehr Kinderärzte davon zu  überzeugen, dass der hippokratische Eid - »... ich will mich enthalten jedes willkürlichen Unrechts und jeder anderen Schädigung«&lt;- auch Fälle wie den ihren betrifft, denn kein Mensch weiß,  wie eine bestimmte Klitoris reagieren wird, wenn man anfängt, an  ihr herumzuschnippeln. Eine Säuglingsklitoris, selbst eine hypertrophe, ist ein sehr kleines Betätigungsfeld für ein Skalpell, und  mit all den Nerven und Blutgefäßen, die sich darin auf so engem  Raum befinden, ist ein Schaden schnell geschehen.</t>
  </si>
  <si>
    <t>349R9XVA</t>
  </si>
  <si>
    <t>Es existieren  keine systematischen Langzeitstudien über die Auswirkungen, die  eine Klitoridektomie auf das spätere Sexualleben der Patientin  hat. Alles, was wir haben, sind Einzelfälle, Anekdoten. Martha  und Cheryl wurde beiden die Klitoris an der Basis abgeschnitten,  doch bei der einen Frau funktioniert sie noch, bei der anderen  nicht. Niemand weiß, warum das so ist. Manche Chirurgen behaupten, ihre heutigen Techniken der Klitorisreduktion hätten  kaum noch etwas mit den brachialen Feldschermethoden von  einst zu tun. Doch Beweise für die Unschädlichkeit ihrer Techniken können sie keine vorlegen. Ebenso wenig können sie beweisen, dass ein Leben mit einer zu groß geratenen Klitoris eine unerträgliche seelische Belastung für das Mädchen oder dessen  Eltern darstellt.</t>
  </si>
  <si>
    <t>U6MKKHTQ</t>
  </si>
  <si>
    <t>Was macht unsere Klitoris, unser Orchideengriffel, unsere halb verborgene korinthische Säule, eigentlich so verwundbar? Wie viele große Künstler ist die Klitoris erst nach ihrem Tod - ihrer Ermordung - zu wirklichem Ruhm gelangt.</t>
  </si>
  <si>
    <t>BNXH658Q</t>
  </si>
  <si>
    <t>123</t>
  </si>
  <si>
    <t>Jetzt haben wir in Amerika ein Selbstbeweihräucherungsgesetz, das die Durchführung ritueller  Genitalverstümmelung nach afrikanischem Muster unter Strafe  stellt - nicht jedoch die medizinisch empfohlene Verstümmelung  mit hypertropher Klitoris geborener Mädchen.</t>
  </si>
  <si>
    <t>WFTZPNBY</t>
  </si>
  <si>
    <t>[Kontext: FGM/C]ABSATZABSATZDie Prozedur wird in unterschiedlichen Abstufungen der Gründlichkeit durchgeführt. Die »harmloseste«&lt; Form ist die Klitoridektomie, also die partielle oder vollständige Entfernung der Klitoris. Bei der mittelschweren Verstümmelung werden zusammen mit der Klitoris auch die kleinen Schamlippen herausgeschnitten. Die Infibulation schließlich ist die grauenvollste Methode: Hier werden Klitoris und kleine Schamlippen abgehackt und dann die Ränder der großen Schamlippen abgehäutet, damit sie sich über Harnröhrenausgang und Scheide wie eine klaffende Wunde zusammennähen lassen und nur ein kleines Loch für den Austritt von Urin und Menstruationsblut offen bleibt. Wenn das infibulierte Mädchen irgendwann heiratet und dem Penis des Ehemannes Einlass gewähren muss, werden die Fäden gezogen, und die vernarbte Haut der großen Schamlippen wird ein Stück weit wieder aufgerissen.</t>
  </si>
  <si>
    <t>9SX85W37</t>
  </si>
  <si>
    <t>124</t>
  </si>
  <si>
    <t>Nach Auskunft ihrer Verfechter dient die Genitalverstümmelung einem zweifachen Zweck. Zum einen soll sie die Frau »zähmen«, indem sie ihre angeborene Lüsternheit abtötet und ihr jede Lust auf außereheliche Affären gleich von vornherein austreibt. Im Abendland weniger bekannt ist der kosmetische Aspekt der Amputation - der Wunsch, den äußerlichen Unterschied zwischen Frau und Mann noch weiter zu akzentuieren. Die Entfernung der Klitoris, der weiblichen Entsprechung des Penis, ist der Anfang. Durch die Beseitigung der Schamlippen, die an einen Hodensack erinnern können, wird die Polarisierung bis zu ihrem Extrem getrieben. Keine Auswüchse, keine Taschen, keine Unklarheiten. Wie Fotos von infibulierten Frauen zeigen, kann der Eingriff tatsächlich einen glatten, makellos gerundeten Schoß ergeben, der an einem infantilen Ideal von Weiblichkeit gemessen - hyperfeminin aussieht. Tatsächlich erinnert er an nichts so sehr wie an diesen plastikgewordenen Inbegriff weiblicher Asexualität namens Barbie.</t>
  </si>
  <si>
    <t>CM9Y85YE</t>
  </si>
  <si>
    <t>Ich bin eine überzeugte Pragmatikerin, aber die Klitoris ist idealistisch, utopiegläubig, und ein schöner Wunschtraum ist schließlich schwer totzukriegen. Was uns ein paradoxes Argument gegen  die Verstümmelung weiblicher Genitalien liefern könnte: Der Eingriff funktioniert nicht immer. Indem man die Klitoris im Fleisch  zerstört, zerstört man sie nicht unbedingt auch im Geist. Wie  Martha Coventry bezeichnen sich auch manche Afrikanerinnen, denen die Klitoris abgenommen wurde, ja sogar welche, die infibuliert wurden, als erotische Wesen, die den Sex genießen und die Fähigkeit zum Orgasmus - zu extrem intensiven Orgasmen sogar,  wie sie hinzufügen - nicht eingebüẞt haben. Ihre Phantomklitorides scheinen wie der Geist von Hamlets Vater zu sein: hartnäckig,  stets gegenwärtig, durch nichts zu besänftigen.</t>
  </si>
  <si>
    <t>V32EX8EV</t>
  </si>
  <si>
    <t>Und wenn eine Frau [nach FGM/C] ihre Fähigkeit, den Orgasmus zu erleben, nicht verliert und dennoch nicht - o Wunder! - den Weg des Berberaffenweibchens einschlägt, dann können wir darin vielleicht den Beweis dafür sehen, dass die Klitoris keine Macht über die Frau besitzt, nicht die geringste Macht - außer derjenigen, die sie von ihr empfängt und die sie ihr zurückgibt.</t>
  </si>
  <si>
    <t>T3XXIKBK</t>
  </si>
  <si>
    <t>Weibliche Sexualität: die Libido und ihr weibliches Schicksal</t>
  </si>
  <si>
    <t>JDNSDJCJ</t>
  </si>
  <si>
    <t>[Kontext: Freuds Auffassungen]ABSATZABSATZ&gt;&gt;Ich zweifle selbst daran, daß das weibliche Kind unter dem Einflusse der Verführung zu etwas anderem als zur Klitorismasturbation gelangen kann, es sei denn ganz ausnahmsweise.&lt;&lt;5ABSATZDrei Abhandlungen zur Sexualtheorie, a.a.O., S. 121 ABSATZAnschließend spricht Freud über die Pubertät, die beim Jungen einen »großen Vorstoß der Libido« bringt und beim Mädchen eine »neuerliche Verdrängungswelle&lt;&lt;, die die Klitorissexualität betrifft. ABSATZ&gt;&gt;Es ist ein Stück männlichen Sexuallebens, was dabei der Verdrängung verfällt. Die bei dieser Pubertätsverdrängung des Weibes geschaffene Verstärkung der Sexualhemmnisse ergibt dann einen Reiz für die Libido des Mannes und nötigt dieselbe zur Steigerung ihrer Leistungen: mit der Höhe der Libido. steigt dann auch die Sexualüberschätzung, die nur für das sich weigernde, seine Sexualität verleugnende Weib im vollen Maße zu haben ist.&lt;&lt;6ABSATZ Drei Abhandlungen zur Sexualtheorie, a.a.O., S. 122</t>
  </si>
  <si>
    <t>968XIQMP</t>
  </si>
  <si>
    <t>[Kontext: Freuds Auffassungen]ABSATZDie Sensibilität der Klitoris ABSATZFreud sagt, daß in der Pubertät bei der Frau eine Art Regression auftritt. &gt;&gt;Die Klitoris behält dann die Rolle, wenn sie beim endlich zugelassenen Sexualakt selbst erregt wird, diese Erregung an die benachbarten weiblichen Teile weiter zu leiten, etwa wie ein Span Kienholz dazu benützt werden kann, das härtere Brennholz in Brand zu setzen. Es nimmt oft eine gewisse Zeit in Anspruch, bis sich diese Übertragung vollzogen hat, während welcher dann das junge Weib anästhetisch ist. Diese Anästhesie kann eine dauernde werden, wenn die Klitoriszone ihre Erregbarkeit abzugeben sich weigert, was gerade durch ausgiebige Betätigung im Kinderleben vorbereitet wird.7 ABSATZDrei Abhandlungen zur Sexualtheorie, a.a.O., S. 122</t>
  </si>
  <si>
    <t>CXDFF8TU</t>
  </si>
  <si>
    <t>Die Sexualität des Mädchens durchläuft, was die erogenen Zonen betrifft, zwei Phasen; die erste Phase gehört der Klitoris, die zweite der Vagina: &gt;&gt;Wir halten uns für berechtigt anzunehmen, daß die Vagina durch langeJahre so gut wie nicht vorhanden ist, vielleicht erst zur Zeit der Pubertät Empfindungen liefert. In letzter Zeit mehren sich allerdings die Stimmen der Beobachter, die vaginale Regungen auch in diese frühen Jahre verlegen.&lt;&lt;</t>
  </si>
  <si>
    <t>86TGQW8Y</t>
  </si>
  <si>
    <t>[Kontext: Freuds Auffassungen -&gt; Die präödipale Vorzeit]ABSATZABSATZHinzu kommt die Entdeckung der eigenen phallischen Masturbation an der Klitoris, die mit oder ohne verführerische Beteiligung von Kinderfrauen oder der Mutter geschieht; diese wollen die Mädchen entweder von sich abhängig machen oder durch eine zu strenge Überwachung ein Verbot der Masturbation durchsetzen.ABSATZ[...]ABSATZÜber die weibliche Sexualität, GW XIV, S.520-532</t>
  </si>
  <si>
    <t>QMGI3I87</t>
  </si>
  <si>
    <t>[Kontext: Freuds Auffassungen]ABSATZZur FrigiditätABSATZ&gt;&gt;Es ist bekannt, daß die Anästhesie der Frauen häufig nur eine scheinbare, eine lokale ist. Sie sind anästhetisch am Scheideneingang, aber keineswegs unerregbar von der Klitoris oder selbst von anderen Zonen aus. Zu diesen erogenen Anlässen der Anästhesie gesellen sich dann noch die psychischen, gleichfalls durch Verdrängung bedingten. Ist die Übertragung der erogenen Reizbarkeit von der Klitoris auf den Scheideneingang gelungen, so hat damit das Weib seine für die spätere Sexualbetätigung leitende Zone gewechselt, während der Mann die seinige von der Kindheit an beibehalten hat. In diesem Wechsel der leitenden erogenen Zone sowie in dem Verdrängungsschub der Pubertät, der gleichsam die infantile Männlichkeit beiseite schafft, liegen die Hauptbedingungen für die Bevorzugung des Weibes zur Neurose, insbesondere zur Hysterie. Diese Bedingungen hängen also mit dem Wesen der Weiblichkeit innigst zusammen.&lt;&lt;ABSATZDrei Abhandlungen zur Sexualtheorie, a.a.O., S. 122 f.</t>
  </si>
  <si>
    <t>KGXC2KJC</t>
  </si>
  <si>
    <t>Kein Wunder also, daß man in diesem sozialen Kontext, in dem die ersten  psychoanalytischen Beobachtungen gemacht wurden, die Sexualität der Frau  als infantil und auf die Klitoris reduziert ansah.</t>
  </si>
  <si>
    <t>TGTHYQM9</t>
  </si>
  <si>
    <t>Wahrscheinlich spürt das kleine Mädchen, daß seine Vagina ringförmig  anschwillt und seine Klitoris erektionsfähig ist, wenn Männer anwesend sind  oder es in den Arm nehmen.</t>
  </si>
  <si>
    <t>ZG5MTEGY</t>
  </si>
  <si>
    <t>Die libidinösen, präobjektalen Triebe organisieren sich, vor allem die primären narziẞtischen Triebe, deren erotischer Mittelpunkt die nach außen gewölbten Körperregionen und die schleimigen Körperöffnungen sind, was sich durch die  phallische Anschwellung der Brustwarzen und der Klitoris sowie durch die  ringförmige Anschwellung des Mundes und der Vulva manifestiert.</t>
  </si>
  <si>
    <t>QCWA8YVA</t>
  </si>
  <si>
    <t>83</t>
  </si>
  <si>
    <t>[Kontext: Zweite Kindheitsphase, Penisneid]ABSATZABSATZDer Mangel verbindet Mädchen und Jungen auf der Suche nach diesem vielleicht versteckten, vielleicht auch abgetrennten phallischen Teil. Das Mädchen zupft an seinen Schamlippen und an dem &gt;&gt;Knopf«&lt;, der Klitoris. Durch die Reizung der Klitoris entdeckt das Mädchen das lustbetonte Anschwellen der Klitoris, so daß es eine Zeitlang hofft, daß hier ein zentrifugaler Penis im Wachsen ist.</t>
  </si>
  <si>
    <t>ZQKSH36H</t>
  </si>
  <si>
    <t>84</t>
  </si>
  <si>
    <t>[Kontext: Zweite Kindheitsphase]ABSATZABSATZZahlreiche Beobachtungen bestätigen, daß ein Mädchen, welches weiß, daß es den Namen des Vaters trägt und daß der Name an seinen eigenen Vornamen angehängt ist, sehr schnell seine sexuelle Beschaffenheitakzeptiert, wenn es die Sicherheit besitzt, daß es vom Vater so gewünschtwurde, wie es ist: als ein Mädchen ohne Penis, so wie die Mutter. Das Mädchen nimmt die Form seiner Vulva, ein »Knopf mit einem Loch«, wie ein väterliches Geschenk und eine mütterliche Anerkennung an.</t>
  </si>
  <si>
    <t>34XH7CX3</t>
  </si>
  <si>
    <t>[Kontext: Zweite Kindheitsphase]ABSATZHeutzutage, wo Jungen und Mädchen gemeinsam erzogen werden, kommt es vor, daß Jungen zwischen drei und sechs Jahren im Kindergarten den Mädchen erklären, sie zu lieben, weil sie anders gemacht sind. Sie billigen ihnen als Trost sogar das Privileg zu, ihnen beim Urinieren zuschauen zu dürfen; dafür werden die Mädchen dann zu ihren auserwählten Freundinnen oder Verlobten. Manchmal wird ein solch großzügiges Angebot ausgeschlagen, und das Mädchen vermeidet eine gewisse Zeit lang selbst emotionale Kontakte mit den allzu generösen Jungen: Es verinnerlicht seine Enttäuschung, seinen jetzigen Zustand, »ohne Penis&lt;&lt; zu sein, und hofft insgeheim auf ein Wunder, nämlich daß es mit weiterem Wachstum auch einen zentrifugalen Penis bekommen wird. In dieser Hoffnung befühlt es seine Klitoris und seine Schamlippen. Es kann sich so der klitoralen Masturbation hingeben - die Masturbation besteht nicht nur aus physischen Manipulationen, sondern auch aus selbstverliebten Handlungen - und sogar eine Art Männlichkeitskomplex entwickeln, der nach Freuds Beschreibung eine Verweigerung ist, zur Realität seines mit einer Vagina ausgestatteten Geschlechts zu gelangen.</t>
  </si>
  <si>
    <t>TH87D9WG</t>
  </si>
  <si>
    <t>[Kontext: Zweite Kindheitsphase]ABSATZIn allen Fällen von affektiver Gesundheit ist es für die Mädchen ganz ohne Frage eine Ehre, eine Vulva zu haben mit einem »Loch und einem Knopf«&lt; am Genitale.</t>
  </si>
  <si>
    <t>RUNR24JL</t>
  </si>
  <si>
    <t>86</t>
  </si>
  <si>
    <t>[Kontext: Zweite Kindheitsphase]ABSATZIn dieser zweiten, vulvo-klitoralen Phase, die nach dem Erwerb der Sauberkeit und der Sprache (zwischen dem 25. und dem 30. Monat) einsetzt, ist alles, was implizit oder explizit im sprachlichen, sensorischen, körperlichen und im aktiv wie passiv sinnlichen Bereich geschätzt wird und wichtig ist und sowohl von der Mutter, dem Symbol der Allmacht und des Allwissens, wie auch vom Vater, dem Symbol der Autorität schlechthin, erlaubt wird, für die spätere Sexualität und Persönlichkeit der heranreifenden Frau von nicht zu überschätzender Bedeutung.111</t>
  </si>
  <si>
    <t>9B3NA7M7</t>
  </si>
  <si>
    <t>87</t>
  </si>
  <si>
    <t>[Kontext: Zweite Kindheitsphase]ABSATZDie Erforschung des Körpers, die zur Masturbation führt, betrifft nicht nur die Vulva und die Klitoris, es gibt auch eine nasale, orale, anale Masturbation und die des Bauchnabels; letztere ist eine bei Erwachsenen weniger bekannte Form und weckt Empfindungen im Inneren des Unterleibs in Verbindung mit der Harnröhre und der Vulva. Schließlich existiert die noch seltenere Masturbation der Brustwarzen, die sehr starke schmerzliche Erfahrungen besänftigt, welche wie eine Kastration empfunden werden. 113</t>
  </si>
  <si>
    <t>RRAQS8X6</t>
  </si>
  <si>
    <t>[Fußnote] 1 Die Zunge ist ein Organ, das die sublimierte, symbolische orale Macht und die sexuellen Optionen - die von den aktiven und passiven Trieben der oralen, klitoralen und vulvovaginalen Libido herkommen - vermittelt.</t>
  </si>
  <si>
    <t>V4QW24MN</t>
  </si>
  <si>
    <t>Wenn sich, wie wir beobachten konnten, das Mädchen zum Beispiel wie eine  Mutter verhält, mit der es sich identifiziert, dann deswegen, weil es glaubt, daß  die Mutter mit dem Kind eine erogene Befriedigung oraler, analer und vulvoklitoraler Art erlebt wie bei der Masturbation. Es handelt sich hierbei keinesfalls um Sublimierungen nach der Verdrängung, sondern um erotische (libidinöse) Befriedigungen.</t>
  </si>
  <si>
    <t>G37HLEIE</t>
  </si>
  <si>
    <t>[Kontext: Die Auflösung der ödipalen Situation]ABSATZABSATZEin gewisser Teil der passiven oralen, analen und phallischen Triebe, die sich olfaktorisch, visuell, auditiv, taktil und rhythmisch äußern, besetzt narzißtisch die sexuelle vulvo-vaginale Körperregion, die Klitoris und die Brüste.</t>
  </si>
  <si>
    <t>FWTV442J</t>
  </si>
  <si>
    <t>[Kontext:] Die pathologische, postpubertäre Verdrängung, die aus einem nicht adäquat durchlebten Ödipuskomplex berrührtABSATZ[...]ABSATZABSATZKlinisch kann man folgende Verdrängungen unterscheiden: ABSATZ1. Die Verdrängung der körperlich passiven und aktiven Besetzungen und der erotisch-genitalen, klitoral-vulvo-analen Besetzungen. [...]ABSATZ2. Die Verdrängung der ausschließlich passiv-erotischen Triebe, die an die Besetzung der Vagina gebunden sind, aus Angst vor Vergewaltigung. [...]ABSATZ3. Die Verdrängung der aktiven klitoral-analen Triebe und die aktive Überbesetzung der früher besetzten, aber von Schuldgefühlen unbelasteten Körperzonen mit der Muskelkraft und Beweglichkeit der Gliedmaßen und allgemeinen körperlichen, manuellen und intellektuellen Gewandtheit führen dann zu einem Männlichkeitskomplex, wenn solche Fertigkeiten auf die Spitze getrieben werden und andere weibliche Aktivitäten ausschließen.</t>
  </si>
  <si>
    <t>EUILL5VJ</t>
  </si>
  <si>
    <t>[Kontext:] Klinische Resultate der unbewältigten ödipalen Situation; Vereinbarkeit von Homosexualität und Heterosexualität bei der Frau [...]ABSATZ(D) Die polyandrische, leidenschaftliche, unstabile Heterosexualität, die – mit oder ohne Verdrängung der Heterosexualität – genital vollzogen wird. [...]ABSATZABSATZDie Frau ist nicht frigide und hat starke Orgasmen der Klitoris und Vulva, wie sie typisch sind für nymphomanische Frauen oder solche, die Männer »anmachen«.</t>
  </si>
  <si>
    <t>99PES9V8</t>
  </si>
  <si>
    <t>Ich erinnere mich an ein kleines Mädchen, dem ich eine Puppe mitgebracht habe. Es hat die Puppe sofort aufden Kopf gestellt, die Strickhose ausgezogen,  ihr eine Klaps gegeben und dann gesagt: »Sie hat gar keinen Knopf, die interessiert mich nicht.&lt;&lt; In diesem Moment vermischen sich die auf die Klitoris  und die Vulva bezogenen Phasen. Gemäß der aus diesen Phasen stammenden  Haltung und Ästhetik sind Hohlräume, Geheimnisse, Verstecke und Schachteln von großer Bedeutung, ebenso das hausfrauliche Interesse an Schleiern  und sorgfältig gebügelten Falten; Knitterfalten sind dagegen unästhetisch. Die  Mädchen mögen Knöpfe und haben große Freude daran zu lernen, wie man  Knöpfe annäht, was übrigens eine Sublimierung darstellt; sie nähen überall  Knöpfe an, egal wie; denn Knöpfe annähen, das heißt überall Brustwarzen und  Klitorides anzubringen, was einfach schön ist.</t>
  </si>
  <si>
    <t>77XMJI5Z</t>
  </si>
  <si>
    <t>163</t>
  </si>
  <si>
    <t>Gleichgültig bei welcher Gelegenheit und  durch welche exogene sensorische Ursache auch immer das Begehren der Frau  angeregt wird - sobald es sich ihren Sinnesorganen mitteilt, konzentriert es  sich auf die genitale Körperregion. Sie spürt eine klitorale Erregung und eine  kreisförmige vaginale Anschwellung, die mit Wärmeempfindungen, Flüssigkeitssekretion und einer erregten Lust einhergehen, deren Intensität sich bis  zum Höhepunkt, dem Orgasmus, steigert.</t>
  </si>
  <si>
    <t>NBV5YXN7</t>
  </si>
  <si>
    <t>Man kann folgende Orgasmen unterscheiden: - den klitoralen Orgasmus, den vulvo-klitoralen Orgasmus, - den vaginalen Orgasmus und - den Orgasmus im gesamten Bereich des Uterus, der zu Unrecht mit den vorhergehenden Orgasmusarten, vor allem mit dem vulvo-vaginalen Orgasmus, verwechselt wird, da er von der Frau nicht bewußt wahrgenommen wird und sie deshalb nie von einem solchen Orgasmus spricht. Ich glaube, daß er sowohl aus objektiv deskriptiven Gründen als auch aus Gründen der libidinösen Entwicklung im Rahmen der psychoanalytischen Theorie von den anderen unterschieden werden muß.e</t>
  </si>
  <si>
    <t>CW7V3V8W</t>
  </si>
  <si>
    <t>164</t>
  </si>
  <si>
    <t>Man weiß, daß die klitorale Erregung sowohl zur vulvo-vaginalen Sekretion  führt als auch zu der Erwartung und dem Wunsch nach einer Penetration des  Penis in die Vagina. Durch die Sekretion wird die Penetration möglich und für  beide Partner lustvoll. Die Erregung der Brustwarzen ist (klinisch und vor  allem auch theoretisch) mit der klitoralen Erregungvergleichbar; das heißt, es  kann sein, daß sie nicht existiert, so wie auch eine klitorale Erregung nicht  unbedingt vorhanden sein muß; sie kann andererseits auch als Kompensation einer Atresief oder einer fehlenden Klitoris existieren.</t>
  </si>
  <si>
    <t>TYTNHG3C</t>
  </si>
  <si>
    <t>165</t>
  </si>
  <si>
    <t>Die klitorale Erregung allein kann nicht lange ertragen werden; tritt der dadurch ausgelöste Orgasmus vor den anderen Lustempfindungen ein, ist er  doch enttäuschend, unharmonisch, zweideutig und steht im Widerspruch zu  den Lustgefühlen, die er doch an der Vulva ausgelöst hat. Das kommt wahrscheinlich daher, daß durch die Erregung der Klitoris der Muskel- und Skelettapparat angespannt ist, über den das kinetische Körperbild aufgebaut und  erhalten wird. Doch erreicht der Orgasmus der Frau seine volle Entfaltung nur  über die Entspannung sämtlicher an diesem Vorgang beteiligten Muskeln, mit  Ausnahme der Muskeln des Dammes, die dem Halt des Penis dienen und  deren Motorik kaum bewußt ist, und der Bauchmuskeln, die in der Objektbeziehung während der phallischen Phase nicht zum Tragen kamen. Andererseits  wurde die Klitoris in der archaischen Phase vielleicht mit einer Zunge oder  einem Zahn assoziiert, deren Hervortreten von einer Sekretion begleitet ist.  Aber damals riefdiese spezielle Bedeutung kaum differenzierte Regungen hervor.</t>
  </si>
  <si>
    <t>VP8SV9G9</t>
  </si>
  <si>
    <t>Entgegen dem Glauben der Männer haben viele Frauen kein ausschließlich  auf die Klitoris zentriertes Verlangen oder zumindest nicht ständig. Bei vielen  Frauen konzentriert sich das Verlangen beim Koitus sofort auf den Umkreis  der vulvo-vaginalen Öffnung; das klitorale Lustgefühl ist nur eine Begleiterscheinung des maximalen vaginalen Genusses.</t>
  </si>
  <si>
    <t>ZSW7H9GA</t>
  </si>
  <si>
    <t>Kurz, der  klitorale Orgasmus allein löst die sexuelle Spannung nicht.</t>
  </si>
  <si>
    <t>SU4IWSIY</t>
  </si>
  <si>
    <t>166</t>
  </si>
  <si>
    <t>Wenn der Penis gleichzeitig die Klitoris  und den Muttermund berührt, kann es durchaus vorkommen, daß dies bei der  Frau einen Orgasmus auslöst, der bis dahin noch nicht zustande gekommen  war.</t>
  </si>
  <si>
    <t>4P8XT4IH</t>
  </si>
  <si>
    <t>174</t>
  </si>
  <si>
    <t>Zuletzt möchte ich noch anmerken, daß viele narzißtische Frauen, die phobisch, zwanghaft, offen homosexuell, hysterisch oder sogar psychotisch sind, nicht frigide sind und nicht nur klitorale Orgasmen, sondern auch vulvo-vaginale Orgasmen haben. Ob sie einen Orgasmus im gesamten uterinen Bereich erleben, ist allerdings zweifelhaft.</t>
  </si>
  <si>
    <t>W4ABWMDY</t>
  </si>
  <si>
    <t>175</t>
  </si>
  <si>
    <t>Viele Männer berichten nämlich, daß Frauen, die nach eigenen Aussagen kein sexuelles Bedürfnis oder  Verlangen haben, den Koitus aber ohne Widerwillen vollziehen, nach dem  Koitus ein allgemeines Wohlgefühl empfinden; obwohl sie jede bewußte Lust  bestreiten, empfinden sie deswegen den Koitus aber nicht als unangenehm.  Die Partner stellen bei diesen Frauen Reaktionen im Inneren der Genitalien  fest; es ist das von den Frauen nicht bemerkte Einsetzen der Uterusbewegungen wie beim vollkommenen Orgasmus. Für die bewußte Wahrnehmung ihrer  orgastischen Lust gab es keine klitoralen oder vulvo-vaginalen Orgasmen.</t>
  </si>
  <si>
    <t>MKAVSYR6</t>
  </si>
  <si>
    <t>194</t>
  </si>
  <si>
    <t>Solche Frauen sind nicht immer frigide, sie haben nymphomanische Orgasmen, die eigentlich eine klitorale Masturbation darstellen, was mit dem Körperteil getarnt wird, den der Mann ihnen zur Verfügung stellt. Das ist vor  allem der Fall, wenn sie auf Männer treffen, die Kindfrauen mit vulvo-klitoraler Lust und diffusen Hautempfindungen am ganzen Körper mögen. Sie verspüren besondere Lust an ihren Brustwarzen, deren Masturbation in der Kindheit mit der klitoralen Masturbation und mit sado-masochistischen Phantasien  und Gefühlen verbunden sind.</t>
  </si>
  <si>
    <t>5AS2ZNS5</t>
  </si>
  <si>
    <t>197</t>
  </si>
  <si>
    <t>Wie dem auch sei, folgendes ist festzuhalten:  1. Die klitoralen, vulvalen und vaginalen Orgasmen bedeuten überhaupt nicht,  daß die Frau die genitale Libido erreicht hat. Sie sind lediglich Zeichen  einer von Schuldgefühlen freien oralen und analen narzißtischen Besetzung  ihrer Genitalien.</t>
  </si>
  <si>
    <t>RK8YNXYJ</t>
  </si>
  <si>
    <t>202</t>
  </si>
  <si>
    <t>Selbst wenn eine Frau die Erfahrung macht, daß ihr Genitale mit ihren  Emotionen verbunden ist - jenseits des phallischen Erscheinungsbildes der  Körper –, so versteht sie sich selbst weniger als den Mann. Wie damals, als sie  sich von der klitoralen Masturbation abgewandt hat, weil sie uninteressant war,  handelt es sich hier um eine narziẞtische Kränkung ihrer Intelligenz, die, wie  die des Mannes, nach Logik und Vernunft sucht, indem sie sich aufMechanismen stützt, die von prägenitalen und phallischen Sublimierungen stammen.</t>
  </si>
  <si>
    <t>X7C2CX99</t>
  </si>
  <si>
    <t>209</t>
  </si>
  <si>
    <t>5 Was die erogenen Zonen als Organ der Weitergabe der Lust angeht, so täuscht sich Freud in bezug auf die Klitoris. Er meint, daß das kleine Mädchen - selbst nach der Begegnung mit einem Verführer - nicht über die Masturbation der Klitoris hinausgelangt. Das stimmt ganz sicher nicht. Die Klitoris ist zwar wichtig, aber nur für eine begrenzte Zeit. Die Lust daran wird ziemlich schnell gerade von dem Verlangen nach Penetration abgelöst. Durch die Besetzung der vaginalen Sexualität verliert deshalb die klitorale Sexualität relativ an Bedeutung. Aber vielleicht gab es zu Freuds Zeiten tatsächlich beim Mädchen eine extreme Verdrängung jeglicher verführerischer Aktivität. Meiner Meinung nach verlagert sich die Wertschätzung, welche die Klitoris genießt, auf die Brüste, und zwar auf die Erektionsfähigkeit der Brustwarzen, welche von den Büstenhaltern betont werden, die den Brüsten eine spitz zulaufende Form geben. Für Freud lag in der Identifikation des Mädchens mit dem erektionsfähigen Penis eine Ablehnung der Weiblichkeit. Ich glaube jedoch, daß ein Mädchen hinsichtlich der Erektionsfähigkeit genügend eigene Möglichkeiten zur Identifizierung hat, weil alle kleinen Mädchen, wenn sie ihren Körper entdekken, sagen, daß sie drei »Knöpfe&lt;&lt; hätten. So wird die Klitoris genannt, genau wie die beiden Brustwarzen auch. Und schon im Alter von 18 Monaten kann man hören: &gt;&gt;Warum habe ich hier einen Knopf, Mama? Schau mal. Tu mir ein wenig Salbe darauf.&lt;&lt; Das ist auch eine Art, die Mutter zu verführen; die Mutter kann daraufhin sagen: »Nein, ein Knopf ist das nicht.&lt;&lt; Man muß darüber sprechen. Das ist wichtig. Aus diesen Gründen ist die Exzision der Klitoris bei manchen Völkern so wichtig. In Paris kam eine Afrikanerin in meine Sprechstunde, welche die Beschneidung ihrer Tochter mit der Begründung verlangte, sie habe es satt, mitansehen zu müssen, wie sich die Tochter mit ihrem Geschlechtsteil beschäftige. Die Beschneidung war in ihrem Herkunftsland ein ganz normaler Vorgang; nun lebte sie zwar in Frankreich und wollte die hiesige Lebensweise teilen, gleichzeitig aber auf die ästhetischen - wenn man so sagen darf, antikolonialistischen - Vorteile ihrer ethnischen Herkunft nicht verzichten. Gleichzeitig erklärte sie, daß sie nicht mehr gläubig sei, so daß eine Beschneidungaus religiösen Gründen für sie keine Rolle spielten. Es handelte sich hier also um eine Beschneidung aus Scham und Verdrängung, weil ihre Tochter sich für ihre Klitoris interessierte und sie selbst keine mehr besaß. Viele Frauen sind nach der Exzision subjektiv vaginal durchaus empfindungsfähig, während viele Männer weißer Hautfarbe, vor allem in Europa, glauben, daß die Exzision der Frau jegliche sexuelle Lust raubt. Gynäkologen, welche Frauen in Afrika behandelten, sagen, daß diese dieVagina erotisch sehr stark besetzen, gerade weil sie keine Klitoris mehrhaben. Es kam, was den Ort der Lust angeht, zu einer Verschiebung, und die Vagina wurde noch intensiver besetzt. Deshalb teile ich nicht Freuds Meinung, nach der es zu einer Verdrängung der libidinös-klitoralen Besetzung kommt. Es handelt sich hier eher um einen Besetzungsentzug, weil die erogene Zone des Mädchens den männlichen Penis zu empfangen wünscht und von ihm penetriert zu werden verlangt.</t>
  </si>
  <si>
    <t>LPC684AA</t>
  </si>
  <si>
    <t>212</t>
  </si>
  <si>
    <t>Am 26. Juli 1932 notiert Ferenczi: »Klitoris und Vagina Möglicherweise war es voreilig, die weibliche Sexualität als mit der Klitoris beginnend vorzustellen, mit einer viel späteren Verlegung der Zone aufdieVagina. Es ist zweifelhaft,  ob es überhaupt ein Organ gibt, das von der Psyche &gt;unentdeckt&lt;, gleichsam psychisch  neutral, das heißt nicht existierend, gedacht werden kann. Im Gegenteil, man fühlt sich  zur Vermutung berechtigt, daß das anscheindende Nichtentdecken der Vagina bereits ein Frigiditätszeichen ist, die gesteigerte Klitoriserogenität aber schon ein hysterisches Symptom. Dasselbe Verlegen würde auch die Akzentuierung der Urethral- und Analregion,  das heißt die Aufsplitterung der Genitalität in benachbarte und entferntere Verlegungen,  hervorrufen. Die Motive der frühinfantilen Vaginalverdrängung könnten sein: die methodische Abhaltung der Hand von der Vaginalöffnung beinahe vom Momente der Geburt an, während die Klitorisregion durch Waschen, Pudern von Anfang an gereizt wird&lt;&lt;  (ebd., S. 234 f.).</t>
  </si>
  <si>
    <t>IDN4KC7K</t>
  </si>
  <si>
    <t>216</t>
  </si>
  <si>
    <t>Wenn man Marthas Briefe an Freud liest, so wird deutlich, daß sie seine  Informantin war, was das Verständnis der Frau anging, und daß sie ihn auch in  die Sexualität einführte.  Martha war kaum neurotisch. Dagegen war später die Prinzessin Bonaparte3  hochneurotisch, weil ihre Großmutter und ihr Vater sie auf sadistische und  perverse Art und Weise erzogen hatten. Aber sie war eine intelligente Frau, die  sich zum ersten Male in ihrem Leben jemandem anvertrauen konnte, und das  war Freud; ihm teilte sie nicht nur alle Gedanken mit, sie berichtete ihm auch,  daß sie sich dreimal operieren ließ, um den Abstand zwischen Klitoris und  Vagina zu verringern, weil sie angeblich deswegen frigide war.</t>
  </si>
  <si>
    <t>PBF95VLV</t>
  </si>
  <si>
    <t>217</t>
  </si>
  <si>
    <t>Mit Lou  Andreas-Salomé verhielt es sich genauso; ihre Empfindungsfähigkeit war auf  die Klitoris beschränkt, und für sie war die Klitoris die Hauptsache, die Vagina konnte ihrer Auffassung nach keine Empfindungen vermitteln.</t>
  </si>
  <si>
    <t>LUF5F3D3</t>
  </si>
  <si>
    <t>241</t>
  </si>
  <si>
    <t>45  Auch wenn Eierstöcke und Hoden vorhanden sind, können Eizellen und  Samenfäden einen Defekt in der Chromosomenstruktur aufweisen. Die Geschlechtschromosomenlegendas Geschlecht über die Gonaden,dasheißtals  Genitalorgane, fest... Dieandere Zelle, eineZwillingszelle, führtzum Soma  und zum eigentlichenGeschlechtlichen.nl  Es gibt Frauen, die denKörper einesMannes haben... Ichkannte eineFrau,  die keine Vagina besaß; ihre Klitoris war ein wenig dick, die Schamlippen  waren geschlossen wie ein Skrotum, und sie hatte wirklich kleine Hoden, die  aber nichtganz ausgebildetwaren.</t>
  </si>
  <si>
    <t>QRAJ7LJC</t>
  </si>
  <si>
    <t>249</t>
  </si>
  <si>
    <t>9041  Das Mädchen braucht etwas länger, um die erogenen Zonen mit der Hand zu  berühren, weil es über andere Mittel verfügt; es kann beispielsweise seine  Schenkel zusammenpressen, was die Klitoris reizt.</t>
  </si>
  <si>
    <t>MUY76EK5</t>
  </si>
  <si>
    <t>259</t>
  </si>
  <si>
    <t>Das Mädchen spürt allmählich eine Stelle an ihrem Körper ganz besonders,  es ist die Stelle, an der sich die Klitoris befindet. Das Mädchen hofft noch, daß  hier ein zentrifugaler Penis vorliegt, der größer werden wird, und die Jungen  sagen es ihm: »Mach dir keine Sorgen, das wird noch wachsen.&lt;&lt;</t>
  </si>
  <si>
    <t>PU76HYJ2</t>
  </si>
  <si>
    <t>261</t>
  </si>
  <si>
    <t>Bei den Jungen und den Männern sitzen die Falten natürlich nie richtig, wogegen sich die Mädchen bewußt darum bemühen, überall kleine Falten anzubringen und zwar in ziemlich großer Zahl. Das steht natürlich im Zusammenhang mit den vielen Falten der Vulva und stellt eine Verschiebung dar. Die Knöpfe sind mehr eine schöne Zugabe. Sie haben keinen bestimmten Zweck, aber das macht nichts. Das ist typisch für Mädchen. Logisch ist das nicht: Das ist eine nette Verzierung ohne bestimmten Zweck. Das beweist nun, daß die Klitoris nach einer gewissen Zeit keinen bestimmten Zweck mehr hat. Sie ist ein Überbleibsel aus einer früheren Zeit, in der sie mit dem Penis verglichen wurde, aber für den ästhetischen Sinn der Frau stellt sie überhaupt nichts mehr dar, was ihrem Empfinden als absolut gut, wohltuend und angenehm vorkommt.</t>
  </si>
  <si>
    <t>7WBYU7TH</t>
  </si>
  <si>
    <t>262</t>
  </si>
  <si>
    <t>Auf diese Weise setzt die Hysterie ein, wenn man die Aufmerksamkeit einer  anderen Person auf sich und seinen Körper lenkt; dieJungen sind daran überhaupt nicht interessiert, sie kümmern sich manchmal eher darum, ob sie sauber  sind. Das Interesse der Mädchen gilt aber nicht der Sauberkeit, sondern einem  schönen Kleid, einer Stickerei oder irgendeiner Sache - also Nebensächlichkeiten, die aber auf einen aufmerksam machen, und weil das Genitale nun  einmal nicht zu sehen ist, zieht man die Aufmerksamkeit des Mannes eben mit  solchen Kleinigkeiten auf sich.  Die Klitoris, die Falte - das sind solche Kleinigkeiten.</t>
  </si>
  <si>
    <t>8N8NPMMX</t>
  </si>
  <si>
    <t>281</t>
  </si>
  <si>
    <t>Der Modus der erotischen Befriedigung ist die anal-zentrifugale Masturbation; es kommt dabei zu einem spielerischen Zurückhalten und Loslassen  durch den Sphinkter, zu schnellen rhythmischen Bewegungen des Körpers,  um starke perineale Empfindungen hervorzurufen, zu einem aktiv ausgelösten  oder passiv erlebten Hin- und Herschaukeln, zur Masturbation der Klitoris  und der Schamgegend; man zieht an den Lippen des Mundes und des Genitales, steckt Finger in die Nase und penetriert den Anus mit den Fingern oder  verschiedenen Gegenständen; letzteres kommt bei Mädchen sehr viel seltener  vor als bei Jungen.</t>
  </si>
  <si>
    <t>C34X9925</t>
  </si>
  <si>
    <t>Noch während einer  unglaublich langanhaltenden ödipalen Phase kann sich das Mädchen manuelle  Gewandtheitsowie Fertigkeiten und Kenntnisse in häuslichen und schulischen  Dingen aneignen, ohne daß es deswegen in bezug auf seine beiden Eltern auf  sexuelle ödipale Wünsche homo- oder heterosexueller Natur verzichtet.  Mit diesem Recht auf einen Narziẞmus der weiblichen Genitalregion, die  aufKlitoris, Schamgegend und Vagina konzentriert ist, und mit dem Recht auf  einen Narziẞmus des weiblichen Körpers, dessen gesellschaftlich bedeutsame  Stärke in einer spezifisch weiblichen Geschicklichkeit besteht, wird nun in der  Tat der Weg bereitet für eine konkave, von Vulva und Uterus bestimmte Sexualität, deren Wertschätzung aus entsprechender Distanz dem gesellschaftlich wie sexuell phallisch geprägten Vaterbild gilt.</t>
  </si>
  <si>
    <t>6KM3QLI4</t>
  </si>
  <si>
    <t>284</t>
  </si>
  <si>
    <t>Hinzu kommt noch die Dominanz der Klitoris. Die außergewöhnlichen imaginären Leistungen, welche auch die zurückhaltendsten jungen Mädchen ihrem &gt;&gt;Zukünftigen&lt;&lt; zutrauen - glänzende berufliche Situation, Beziehungen,  Verführung --,, stellen im Alter von 15 Jahren die Fortsetzung der Erzählungen  von einem schönen jungen Mann dar, der nach triumphalen Erfolgen die Königstochter heiratet. In der Kindheit handelt es sich dabei um eine literarische  und bildhafte Transposition der Klitoris, wobei der junge Mann als wertvoller  Phallus, der einen Schmuck darstellt, auftritt, oder als wertloser Phallus, weil  man ihm die Anerkennung versagt oder weil er aus einer verarmten, aber  hochherrschaftlichen Familie stammt.</t>
  </si>
  <si>
    <t>R5U67QII</t>
  </si>
  <si>
    <t>In den Träumen adoleszenter Mädchen stehen der Narzißmus und die Vulva  genauso im Mittelpunkt wie die Klitoris; sie sind jedoch ödipaler Natur, wobei  stets ein mehr oder weniger stark ausgeprägtes homo- oder heterosexuelles  Moment vorhanden ist.</t>
  </si>
  <si>
    <t>DVLMSEJY</t>
  </si>
  <si>
    <t>286</t>
  </si>
  <si>
    <t>Das  phallische Ich des Mädchens erfährt das Trauma der primären Kastration in  dem Augenblick, da es die sexuell-phallomorphe Konstitution derJungen bemerkt. Diese narzißtische Wunde eröffnet dem Mädchen symbolisch den Zugang zu seiner Weiblichkeit insofern, als es weiß, daß der ganz besondereWert  seiner Person in den Augen vonJungen an die Tatsache gebunden ist, daß sein  Genitale gerade nicht das typisch phallomorphe Merkmal besitzt. Das Ich, das  beim Mädchen immer noch phallisch ist und bleibt, akzeptiert dann sein hohlförmiges Genitale und seine Klitoris, weil es sich für das phallische Ich-Ideal  entschieden hat, welches das Mädchen zu einer zentripetal-phallischen Dynamik in seinem verführerischen Verhalten gegenüber Personen mit phallomorpher Konstitution von Körper und Genitale anhält.</t>
  </si>
  <si>
    <t>D2FDK3TT</t>
  </si>
  <si>
    <t>3. Die phallische Phase: Im funktionalen Modus der Oralität wird der Penis  des anderen an sich gezogen, zunächst zur Absorption, dann zur ausstoßenden  Expulsion im analen Modus eines zentrifugalen Penis; Versuch, die Klitoris,  die den zentrifugalen Penis repräsentiert, überzubewerten; es findet eine Verschiebung auf alle sthenischen Emissionen statt; die Lernfähigkeit wird eingesetzt, um Wissen zu erwerben und es im »Sagen« und »Tun&lt;&lt; als den phallischen Ersatzformen zu zeigen; die Einstellung, »ihn nicht zu haben«, erfährt  eine Verschiebung, um verführerisch zu wirken; entdeckt werden die Macht  und die Attraktivität als Frau, was auch finanziell zu Buche schlagen kann.</t>
  </si>
  <si>
    <t>ZQ58NWM4</t>
  </si>
  <si>
    <t>4. Die um die Vulva zentrierte Phase: Fast gleichzeitig mit der Entdeckung des  Saums an Kleidern werden Klitoris und Vagina entdeckt und überbewertet;  Hohlformen, Geheimnisse, Verstecke und Schachteln werden nun geschätzt;  daheim interessiert man sich für Schleier, Vorhänge und Falten; unästhetische  Knitterfalten werden abgelehnt und trotz zeitweiligem Desinteresses wird die  Art und Weise, wie man sich kleidet, wichtig, um dort tadellos gekleidet zu  sein, wo sich der lächerliche zentrifugale Penis, die Klitoris, befindet, einer  von drei erektilen Knöpfen, wobei die beiden anderen an der Brust sind. Von  allen geht wenig Befriedigung aus, so daß sie kaum der Rede wert sind; »ballonartige« Formen des Körpers wie Brüste, Pobacken und Wangen erfahren  eine neue Wertschätzung. Trotz dieser Verschiebung auf kulturell-dekorative  Gegenstände bereiten sich manche jungen Mädchen weiterhin masturbatorisch-narziẞtische Lustempfindungen, wenn niemand mehr da ist, vor dem  man sich zur Schau stellen kann. Folgende Körperzonen sind betroffen:  - die Brustwarzen und die Schamlippen, an denen gezogen wird;  - die Klitoris, deren Erregung eine unklare erektile Empfindung auslöst und  so das Interesse an der Öffnung der Vulva weckt.</t>
  </si>
  <si>
    <t>D5CMJDJA</t>
  </si>
  <si>
    <t>Praxishandbuch Medizin &amp; Gesundheit: Wissen, Ratschläge, Selbsthilfe</t>
  </si>
  <si>
    <t>FWGCKXR5</t>
  </si>
  <si>
    <t>731</t>
  </si>
  <si>
    <t>Die sichtbaren äußeren Teile der Geschlechtsorgane werden zusammen als Vulva bezeichnet und bestehen aus dem sexuell sensiblen Kitzler (Klitoris), der von Hautfalten umgeben ist und den Schamlippen.</t>
  </si>
  <si>
    <t>Z46LVZHV</t>
  </si>
  <si>
    <t>740</t>
  </si>
  <si>
    <t>[Kontext: Vermännlichung]ABSATZABSATZDie Symptome treten allmählich auf. Zu ihnen gehören:ABSATZ⚫ übermäßiges Wachstum der Haare im Gesicht und am Körper ⚫ unregelmäßige oder ausbleibende Menstruationen (Regelblutung, S. 735) • Verringerung der Brustgröße oder selten ausbleibende Entwicklungder Bruste • Vergrößerung des Kitzlers ⚫ nicht rückgängig zu machende Vergrößerung des Kehlkopfs (Adamsapfel), was zu einer tieferen Stimme führt • Ausdünnung der Haare um die Schläfen</t>
  </si>
  <si>
    <t>DF5E3AQ2</t>
  </si>
  <si>
    <t>754</t>
  </si>
  <si>
    <t>Sexuelle Gedanken, der Anblick des Körpers eines  Partners und ein Vorspiel - all dies trägt zur sexuellen Erregung bei. Die Aufregung beschleunigt die Atmung, den Herzschlag und erhöhtden Blutdruck. Bei einem Mann erigiert der Penis. Bei einer  Frau schwellen die Schamlippen und der Kitzler an, die Scheide wird länger und feucht, die Brüste vergrößern sich.</t>
  </si>
  <si>
    <t>F7AHE692</t>
  </si>
  <si>
    <t>Gesundheit für die ganze Familie: Symptome erkennen und richtig deuten</t>
  </si>
  <si>
    <t>E7RZNMHY</t>
  </si>
  <si>
    <t>4</t>
  </si>
  <si>
    <t>Die sichtbaren äußeren Teile der Geschlechtsorgane werden zusammen als Vulva bezeichnet und bestehen aus dem sexuell sensiblen Kitzler (Klitoris), der von Hautfalten umgeben  ist, sowie den so genannten Schamlippen.</t>
  </si>
  <si>
    <t>CCKMC2J4</t>
  </si>
  <si>
    <t>Le français médical: ein Lehr- und Übungsbuch für den Klinikalltag</t>
  </si>
  <si>
    <t>N7LSLMV2</t>
  </si>
  <si>
    <t>37</t>
  </si>
  <si>
    <t>23 Klitoris, Kitzler [-&gt;] 23 clitoris (m.)</t>
  </si>
  <si>
    <t>RT463S37</t>
  </si>
  <si>
    <t>Total normal: was du schon immer über Sex wissen wolltest</t>
  </si>
  <si>
    <t>TVFNYZHQ</t>
  </si>
  <si>
    <t>Die äußeren Geschlechtsorgane der Frau, die Klitoris und der Scheideneingang, sind kaum sichtbar, weil sie sich zwischen ihren Oberschenkeln befinden.</t>
  </si>
  <si>
    <t>34SWFFWH</t>
  </si>
  <si>
    <t>Die Vulva bedeckt die Klitoris,  den Scheideneingang, die Öffnung der Harnröhre (Urethra)  und die Schamlippen.</t>
  </si>
  <si>
    <t>3VUP3V4I</t>
  </si>
  <si>
    <t>Die Schamlippen (Labia) bestehen aus zwei Paar weichen Hautfalten in der Vulva. Sie bedecken  die inneren Teile der Vulva, die  Klitoris, die Öffnung der Harnröhre und den Scheideneingang.</t>
  </si>
  <si>
    <t>B88NBWQP</t>
  </si>
  <si>
    <t>Die Klitoris ist eine kleine Erhebung aus Gewebe von der Größe einer Erbse. Wenn die Klitoris berührt und gestreichelt wird, entsteht ein angenehmes Gefühl,ein lustvolles Prickeln. Der ganze Körper reagiert erregt, fühlt sich warm und »sexy&lt;&lt;.</t>
  </si>
  <si>
    <t>SLEICKIF</t>
  </si>
  <si>
    <t>Wenn Leute onanieren, reiben  sie ihre äußeren Geschlechtsorgane mit der Hand oder mit einem  weichen Gegenstand, zum Beispiel einem Kissen. Ein Mädchen  streichelt meist ihre Klitoris oder  Brüste, ein Junge seinen Penis.</t>
  </si>
  <si>
    <t>ITK2IJVS</t>
  </si>
  <si>
    <t>Geschlechtsverkehr beginnt gewöhnlich mit Umarmen, Streicheln und Küssen. Nach einer Weile wird die Vagina feucht, die Klitoris verhärtet sich und der Penis erigiert, wird steif und gröBer.</t>
  </si>
  <si>
    <t>NS55PJEF</t>
  </si>
  <si>
    <t>Umarmen</t>
  </si>
  <si>
    <t>U8C2PJQJ</t>
  </si>
  <si>
    <t>Wenn Mädchen oder Frauen  zum Höhepunkt kommen, dann  in der Regel dadurch, dass die Klitoris direkt gestreichelt oder indirekt durch die Bewegung des  Penis stimuliert wird.</t>
  </si>
  <si>
    <t>52E4WI2V</t>
  </si>
  <si>
    <t>100.000 Jahre Sex: über Liebe, Fruchtbarkeit und Wollust ; [zur Ausstellung "100.000 Jahre Sex - Über Liebe, Fruchtbarkeit und Wollust"]</t>
  </si>
  <si>
    <t>Y88GNXPY</t>
  </si>
  <si>
    <t>Wer übrigens doch Spuren hinterlassen hat, sind Frauen der Frühen Neuzeit, die sich als Männer verkleideten und als Soldat oder  als Seemann Dienst taten. Einige sollen sogar Piraten geworden  sein.Diese Form der Travestie war ein damals ziemlich häufigauftretendes Phänomen, das in Büchern undQuasi-(Auto-)Biographien  besungen wurde.Viele wurden erst nachJahren und manchmal erst  nach ihrem Tod als Frauentlarvt. Die Gründefürdiese Travestie  warenverschiedener Natur, aber einigeFrauen hatten sicher auch  sexuelle Absichten. Einigen gelang es sogar,inihrer männlichen  Aufmachung eine Frau zu heiraten. Ein solcher Fall aus derZeit, in  der van der Merwede seine Triumphe feierte, fand seinen Wegin  die internationale medizinische Literatur dieserZeit. Eine Frau, die  als Soldat gedient hatte, wurde von Dr. Nicolaas Tulp (bekannt von  Rembrandts Gemälde Die Anatomiedes Dr. Tulp) untersucht und  beschrieben. Hendrikje Verschuur und Trijntje Barends waren so  verliebt ineinander, dass sie geheiratet hätten, wenn das zulässig  gewesenwäre. Bei derkörperlichen Untersuchungkonstatierte Tulp, dass Hendrikje eine außerordentlich große Klitoris hatte, mit  der sie den Akt mit Trijntje vollzog. Der Befundwar nichtso  sonderbar, wie es scheint: Die Ärzte stellten diese Art Befund sehr  häufig bei Frauen, die lesbischer Verhaltensweisen verdächtigtoder  beschuldigt wurden. In vielen Fällen sahen sie, was siesehen wollten oder zu sehen erwarteten, wie sie das schonjahrhundertelang  bei Untersuchungen von Geschlechtsteilen getanhatten.</t>
  </si>
  <si>
    <t>87UB533F</t>
  </si>
  <si>
    <t>Bei den Sheelas dagegen wird Fruchtbarkeit durch eine oft verblüffende Konzentration auf die Genitalien ausgedrückt. Diese  sind bei manchen Figuren nicht so stark ausgeprägt, bei vielen aber sind sie mit so realistischen Einzelheiten herausgearbeitet, dass  man sich unwillkürlich fragt, ob sie möglicherweise für den anatomischen Unterricht  gedacht waren. Bei einigen gut erhaltenen  Figuren sind nicht nur die Vulva präzise herausgemeiẞelt, sondern auch die Klitoris und  der Anus. Das ist umso bemerkenswerter, als  es oft das einzige realistische Merkmal der  ganzen Skulptur ist.</t>
  </si>
  <si>
    <t>ETEH7RXN</t>
  </si>
  <si>
    <t>Ich klage an: Plädoyer für die Befreiung der muslimischen Frauen</t>
  </si>
  <si>
    <t>93UZJF82</t>
  </si>
  <si>
    <t>108</t>
  </si>
  <si>
    <t>Die extremste Art des Schutzes der Jungfräulichkeit besteht  in der Abtrennung der Klitoris sowie der großen und der  kleinen Schamlippen des Mädchens und schließlich in der  Ausschabung der Vaginawände mit einem scharfen Gegenstand (Glasscherbe, Rasiermesser oder Kartoffelschälmesser).</t>
  </si>
  <si>
    <t>ZHWETETE</t>
  </si>
  <si>
    <t>Anatomie und Physiologie</t>
  </si>
  <si>
    <t>Q5AKZE4P</t>
  </si>
  <si>
    <t>1255</t>
  </si>
  <si>
    <t>Die kleinen Schamlippen sind der Urethra pars spongiosa homolog.  ■ Die Klitoris (Kitzler) ist eine kleine zylindrische Masse aus erigierbarem Gewebe und Nerven und liegt an der vorderen Verbindung der kleinen Schamlippen. Eine Hautschicht, die Klitorisvorhaut, wird an dem Punkt gebildet, an dem sich die kleinen Schamlippen vereinigen, und sie bedeckt den Klitoriskörper. Der exponierte Teil der Klitoris heißt Glans. Die Klitoris ist der Glans penis  (Eichel) beim Mann homolog. Wie die männliche Struktur, so ist auch die Klitoris fähig, sich durch Berührungsreize zu vergrößern, und sie spielt eine Rolle bei der sexuellen Erregung der Frau.</t>
  </si>
  <si>
    <t>Q498RZE4</t>
  </si>
  <si>
    <t>Anterior zur Vaginalmündung und posterior zur Klitoris ist die äußere Harnröhrenmündung, die Öffnung der Harnröhre nach außen.</t>
  </si>
  <si>
    <t>CZEBA3FD</t>
  </si>
  <si>
    <t>Die Bulbi vestibuli (Schwellkörper, Abb. 28.21) bestehen aus zwei verlängerten erigierbaren Gewebsmassen, tief liegend zu den Schamlippen, auf jeder Seite der Vaginalmündung. Die Bulbi vestibuli füllen sich während der sexuellen Erregung mit Blut an, verengen den Scheidenvorhof und üben Druck auf den Penis während des  Geschlechtsverkehrs aus. Die Bulbi vestibuli entsprechen dem Corpus spongiosum und dem Bulbus penis beim  Mann.</t>
  </si>
  <si>
    <t>X4LXJP4E</t>
  </si>
  <si>
    <t>1259</t>
  </si>
  <si>
    <t>Die äußeren Genitalien sowohl von weiblichen als auch von männlichen Embryonen (Penis und Hodensack beim männlichen Embryo und Klitoris, Schamlippen und Vaginalmündung beim weiblichen Embryo) bleiben ebensobis etwa zur achten Woche undifferenziert.</t>
  </si>
  <si>
    <t>AD9XWV6A</t>
  </si>
  <si>
    <t>In Abwesen  heit von DHT entsteht aus dem Genitalhöcker die Klitoris in  weiblichen Embryonen.</t>
  </si>
  <si>
    <t>W75GXN54</t>
  </si>
  <si>
    <t>Pädiatrie: Grundlagen und Praxis ; mit 473 Tabellen</t>
  </si>
  <si>
    <t>BC8NA5WI</t>
  </si>
  <si>
    <t>274</t>
  </si>
  <si>
    <t>[Kontext: Edwards-Syndrom (Trisomie 18)]ABSATZABSATZGenitalien. M: Kryptorchismus; w: (Hypoplasie der Labia major, prominente Klitoris).</t>
  </si>
  <si>
    <t>ZZNPWWZC</t>
  </si>
  <si>
    <t>282</t>
  </si>
  <si>
    <t>Ein phänotypisch ambivalentes Genitale gestattet zunächst keine eindeutige Geschlechtszuordnung. Zu den Leitsymptomen gehören Klitorishypertrophie, Sinus urogenitalis, par tielle labiale Fusion, Hypospadie, Hodenhochstand, Skrotum bipartitum.</t>
  </si>
  <si>
    <t>JGJIGPLS</t>
  </si>
  <si>
    <t>[Kontext: Isolierte Androgensynthesedefekte]ABSATZABSATZKlinische Symptome und Verlauf. Fast alle beschriebenen Patienten haben zum Zeitpunkt der Geburt ein weibliches äußeres Genitale. Ein Uterus ist nicht vorhanden, die Vagina endet blind. Mit Eintritt in die Pubertät wird eine unterschiedlich ausgeprägte Virilisierung mit Stimmbruch und Klitorishypertrophie beobachtet. Eine Brustdrüsenentwicklung bleibt meist aus.</t>
  </si>
  <si>
    <t>2428HTY5</t>
  </si>
  <si>
    <t>295</t>
  </si>
  <si>
    <t>[Kontext: Normvarianten der vorzeitigen Pubertätsentwicklung -&gt; Prämature Adrenarche]ABSATZABSATZKlinische Symptome. Betroffen sind v. a. Mädchen zwischen dem 4. und 7. Lebensjahr. Bis auf das Auftreten von Schamund Achselbehaarung bestehen keine Pubertätszeichen. Weitere Zeichen der Androgenisierung (Klitorishypertrophie, Akne etc.) fehlen ebenfalls.</t>
  </si>
  <si>
    <t>AR84UXVG</t>
  </si>
  <si>
    <t>Taschenatlas Ohrakupunktur nach Nogier-Bahr: Grundlagen - Lokalisationen - Indikationen ; 60 Tabellen ; [nach den Ausbildungsrichtlinien der Deutschen Akademie für Akupunktur und Aurikulomedizin (DAAAM), München]</t>
  </si>
  <si>
    <t>APLX2EQY</t>
  </si>
  <si>
    <t>Klitoris/Glans penis  Lage:  • Vor der Incisura supratragica am Vorderrand der aufsteigenden Helix,  wo der knorpelige Rand unter der Haut zu tasten ist. Unterhalb Punkt  Urethra.  Entspricht in seiner Bedeutung dem Frustrationspunkt.  Cave: wird oft verwechselt mit dem Interferonpunkt in der Incisura  supratragica (s. a. „Übergeordnete Punkte“ →S. 207 und „Hilfslinien"  → S. 287).</t>
  </si>
  <si>
    <t>BEE9M7IM</t>
  </si>
  <si>
    <t>Anatomie</t>
  </si>
  <si>
    <t>JFKVZRJI</t>
  </si>
  <si>
    <t>29</t>
  </si>
  <si>
    <t>Die Clitoris (= Kitzler) liegt am oberen Ende der  kleinen Schamlippen und wird vom Praeputium clitoridis, einer kleinen Hautfalte bedeckt.</t>
  </si>
  <si>
    <t>QSC464IZ</t>
  </si>
  <si>
    <t>Kindesmisshandlung: medizinische Diagnostik, Intervention und rechtliche Grundlagen ; mit 60 Tabellen</t>
  </si>
  <si>
    <t>HUNXPZ9C</t>
  </si>
  <si>
    <t>Bei Mädchen wird die rituelle bzw. kulturell motivierte Genitalverstümmelung in unterschiedlichen Formen durchgeführt. Die Klassifikation der WHO unterscheidet 4 Formen:ABSATZSunna: Exzision der Klitorisvorhaut mit der ganzen oder einem Teil der Klitoris ABSATZExzision: Klitoridektomie, die Klitoris wird vollständig entfernt, die kleinen Labien teilweise oder vollständig, die Vaginalöffnung wird nicht verschlossen ABSATZInfibulation oder pharaonische bzw. sudanesische Genitalverstümmelung: Klitoris und Labia minora werden vollständig entfernt, die Labia majora teilweise durch Abtrennung der inneren Seiten der großen Labien, evtl. auch eines Teils des Venushügels. Die verbleibenden Hautanteile werden zusammengenäht, so dass beim Zusammenwachsen eine Brücke aus Narbengewebe über der vaginalen Öffnung bleibt, eine sehr kleine Öffnung (bis erbsgroß) für Menstruationsblut und Urin wird belassen ABSATZDiverse nicht klassifizierbare Praktiken: z.B. Punktion, Piercing, Einschnitt und Einriss der Klitoris.</t>
  </si>
  <si>
    <t>MVZXIJ7P</t>
  </si>
  <si>
    <t>Klitoridektomie und Exzision kommen in ca, 80-85% der  Fälle vor (z.B. im Senegal, Togo, Elfenbeinküste);</t>
  </si>
  <si>
    <t>QEHH4N2E</t>
  </si>
  <si>
    <t>In den westlichen Ländern gibt es nur wenige Urteile, die sich mit der weiblichen Genitalverstümmelung befassen. Im US-Bundesstaat Georgia entfernte ein 30-jähriger Einwanderer aus Äthiopien  seiner 2-jährigen Tochter die Klitoris mit einer  Schere. Die Geschworenen befanden den Mann  der schweren Körperverletzung und Misshandlung  schuldig, das Gericht verhängte eine Freiheitsstrafe  von 10 Jahren.</t>
  </si>
  <si>
    <t>356RSEVP</t>
  </si>
  <si>
    <t>Die  Qualifikation als »schwere Körperverletzung&lt;&lt; im  Sinne des § 226 Abs.2 StGB ist nur erfüllt, wenn  ein »&gt;wichtiges Glied«&lt; verstümmelt wurde. Wird  die Klitoris - wie derzeit unverständlicherweise in  der Rechtssprechung praktiziert - nicht unter diesen Begriff subsumiert, dann liegt juristisch keine schwere Körperverletzung vor (!).</t>
  </si>
  <si>
    <t>HC7KMAYQ</t>
  </si>
  <si>
    <t>Masturbation bei präpubertären Mädchen erfolgt in  der Regel klitoral und verursacht keine Verletzung  des Hymens, insbesondere, weil das präpubertäre Hymen gut innerviert und damit äußerst schmerzanfällig ist.</t>
  </si>
  <si>
    <t>FXBHCX2K</t>
  </si>
  <si>
    <t>Die Mehrzahl der Studien zum sexuellen Missbrauch von Kindern beschreiben Befunde des  weiblichen Genitales. Leichtere Verletzungen  werden häufig durch genitale Manipulationen oder Reiben des Penis zwischen den Schamlippen (ohne Penetration des Introitus) verursacht.  Dies führt meist zu unspezifischen Befunden wie Erythemen oder oberflächlichen Abrasionen der  inneren Anteile der Labia minora, des periurethralen Bereichs, des Vestibulums oder der Klitoris.  Diese Befunde heilen innerhalb weniger Tage ad  integrum.</t>
  </si>
  <si>
    <t>VIDKR3YJ</t>
  </si>
  <si>
    <t>Die meisten Unfälle resultieren, wenn Kinder rittlings auf Gegenständen sitzen und dann abrutschend auf harte Objekte wie einen Fahrradholm oder ein Möbelteil  mit dem Genitalbereich aufprallen. Üblicherweise führt dies zu einer Prellung der äußeren genitalen Strukturen, die zwischen dem einwirkenden  Objekt und den darunter liegenden Knochen gequetscht werden. Die Verletzungen betreffen die  Labia majora und minora und die Klitoris und  selten die tiefer und geschützt liegenden Strukturen wie das Hymen und die »posterior fourchette&lt;&lt;  (Abb. 11.1 und 11.2).</t>
  </si>
  <si>
    <t>PIV7MMQG</t>
  </si>
  <si>
    <t>Loslegen</t>
  </si>
  <si>
    <t>LJAL93NR</t>
  </si>
  <si>
    <t>Für weitere Sexualfunktionen (Erregung und Orgasmus) ist die Klitoris (Kitzler) mit den ihr angeschlossenen Schwellkörpern, die den Penisschwellkörpern des Mannes ähneln bzw. entsprechen,wichtig.</t>
  </si>
  <si>
    <t>S87BRTM8</t>
  </si>
  <si>
    <t>195</t>
  </si>
  <si>
    <t>Der Vaginaleingang liegt in der Vulva dorsal von  Klitoris und Urethralöffnung.</t>
  </si>
  <si>
    <t>UI42VMAF</t>
  </si>
  <si>
    <t>Probleme im Intimbereich: ... damit müssen Sie nicht leben ; ärztlicher Ratgeber</t>
  </si>
  <si>
    <t>CWUGEBGG</t>
  </si>
  <si>
    <t>iv</t>
  </si>
  <si>
    <t>Der Begriff Vulva umfasst  alle äußerlich sichtbaren Teile der Geschlechtsregion, also:  ◉ den Schamhügel,  ◉ den gesamten mit Schamhaaren bedeckten Bereich,  ☐ die beiden äußeren, sogenannten großen Schamlippen,  die beiden inneren, sogenannten kleinen Schamlippen,  ■den Kitzler, auch Klitoris genannt,  ■den Scheidenvorhof, auch Vestibulum genannt,  ■die Drüsen des Scheidenvorhofs,  ☐ den Scheideneingang mit dem Jungfernhäutchen und  ☐ den Damm.</t>
  </si>
  <si>
    <t>WDKYGG27</t>
  </si>
  <si>
    <t>Die inneren Schamlippen teilen sich an ihrem Ansatz und bilden das sogenannte Frenulum und als Schutz  für den Kitzler eine kleine,,Haube“, das sogenannte Praeputium.</t>
  </si>
  <si>
    <t>YJWIUJSC</t>
  </si>
  <si>
    <t>Der Kitzler und die Blutgefäße der Vulva, die sich bei sexueller Erregung stark mit Blut füllen, sind hauptverantwortlich für einen Orgasmus.</t>
  </si>
  <si>
    <t>X36IR563</t>
  </si>
  <si>
    <t>Die Hauptfunktion der inneren Schamlippen ist eine sexuelle, da sie sich bei sexueller  Erregung stark mit Blut füllen. Sie umschließen den Penis beim Geschlechtsverkehr,  sodass der Kitzler näher an den Penisschaft gelangt und die Erregung erhöht wird.</t>
  </si>
  <si>
    <t>GQ69LZUI</t>
  </si>
  <si>
    <t>Vor dem Kitzler teilen sich die inneren Schamlippen in zwei Schenkel. Die beiden  unteren Teile vereinigen sich zum sogenannten Frenulum, einem Bändchen, das – wie  das Bändchen unter der Zungenspitze – teilweise angeheftet und teilweise beweglich  ist. Die beiden oberen Teile (es können auch jeweils zwei Hautfalten sein) bilden  zusammen eine Art Haube für den Kitzler, das sogenannte Praeputium, zu deutsch  ,,Vorhaut".</t>
  </si>
  <si>
    <t>IJ4HQ5IB</t>
  </si>
  <si>
    <t>15</t>
  </si>
  <si>
    <t>Die Größe der Klitoris kann ebenfalls variieren, was jedoch keinerlei Einfluss  auf das sexuelle Empfinden hat.</t>
  </si>
  <si>
    <t>82CBNT3D</t>
  </si>
  <si>
    <t>Der Kitzler, lateinisch Klitoris</t>
  </si>
  <si>
    <t>N574QCBB</t>
  </si>
  <si>
    <t>Der Teil des Kitzlers, der unter der Vorhaut liegt, wird als Glans - also Eichel - bezeichnet und hat in etwa die Größe einer kleinen Erbse. Die Größe dieses Klitoristeils ist unabhängig von Körpergröße oder Gewicht. In der Glans liegen Tausende von Nerven mit  ihren sensiblen Endigungen, die für die sexuellen Empfindungen verantwortlich sind.</t>
  </si>
  <si>
    <t>4YWX29NK</t>
  </si>
  <si>
    <t>Die direkte Stimulation wird von vielen Frauen eher als schmerzhaft oder unangenehm  empfunden, sie ziehen die indirekte Stimulation über die Vorhaut oder den Schamberg  vor. Der Nerv, dessen Endäste die Klitoris versorgen, ist der sogenannte Pudendusnerv  (siehe ab Seite 104). Er versorgt nicht nur die Klitoris, sondern die gesamte Vulva,  den Damm und den Bereich um den After mit sensiblen Nervenfasern und ist daher für  die sexuellen Empfindungen in all diesen Bereichen verantwortlich.</t>
  </si>
  <si>
    <t>VRTUSAUF</t>
  </si>
  <si>
    <t>Ein anderer Teil der Klitoris, der 3 bis 4 cm lange Schaft, liegt nicht sichtbar unter der  Haut und der Muskulatur der Vulva. Er verfügt nicht über so viele Nerven, dagegen  über eine sehr gute Versorgung mit Blutgefäßen, die bei sexueller Erregung die Klitoris anschwellen lassen und die Glans nach vorne drücken. Im Gegensatz zum Penis  kommt es aber nicht zu einer Versteifung oder einem Aufrichten der Klitoris. Je nach  Erregung kommt es zum Zu- und Abfließen des Blutes, wodurch - im Gegensatz zum  Mann mehrere Orgasmen hintereinander möglich sind.</t>
  </si>
  <si>
    <t>H8SY8M2L</t>
  </si>
  <si>
    <t>Der Schaft teilt sich in die beiden etwa 5 bis 9 cm langen Klitorisschenkel auf, die  neben den Blutgefäßen und unter den Muskeln des Vestibulums verlaufen. Schaft und  Schenkel der Klitoris stehen in Verbindung mit dem Schambeinknochen. Die Funktion  der Klitoris besteht ausschließlich darin, sexuelle Lust zu empfinden und zu vermitteln.</t>
  </si>
  <si>
    <t>TH4EZFHW</t>
  </si>
  <si>
    <t>[Kontext: Genitalherpes]ABSATZABSATZAm häufigsten betroffen sind große und kleine Schamlippen, Klitoris, Damm und die Gegend um den After.</t>
  </si>
  <si>
    <t>PTUJ5LT6</t>
  </si>
  <si>
    <t>Der Pudendusnerv ist der „,Hauptnery"  des Beckens. Er entspringt der untersten Region des Rückenmarks im Kreuzbeinbereich und hat drei Äste: den unteren rektalen Ast zum Enddarm und After, den perinealen Ast zum Damm und zur Harnröhre und den klitoralen Ast zur Versorgung der  Klitoris.</t>
  </si>
  <si>
    <t>L8TEJ7K7</t>
  </si>
  <si>
    <t>Dort [im Alcock-Kanal] teilt sich der Pudendusnerv in verschiedene kleinere Nervenäste auf, die dann wiederum andere Namen haben und meist nach dem Haut- oder Muskelgebiet benannt sind, das sie versorgen. Das sind in diesem Fall: ◉ die rektalen/analen Äste zur Versorgung des Enddarms und des Afterschlieẞmuskels (Nn. rectales inferiores), ☐ die perinealen Äste, die den Damm, die Scheide und die Harnröhre versorgen (Nn. perineales), wobei sich diese perinealen Äste wiederum verzweigen in noch kleinere Äste (Nn. scrotales bzw. labiales), die beim Mann den Hodensack (Scrotum) und bei der Frau die Schamlippen versorgen, ☐ bei Frauen der klitorale Ast, der den Bereich um die Klitoris (den Kitzler) versorgt (Nervus dorsalis clitoridis) bzw. bei Männern den Penis (Nervus dorsalis penis).</t>
  </si>
  <si>
    <t>YFE2AJB5</t>
  </si>
  <si>
    <t>[Kontext: Dysästhetische Vulvodynie]ABSATZABSATZDie hauptsächlichen Symptome sind Schmerzen im Versorgungsgebiet des Pudendusnervs, also im Bereich von Enddarm, After, Harnröhre und Damm sowie bei Frauen im Bereich von Scheide und Vulva (äußerlich sichtbarer Genitalbereich, der den Scheideneingang, kleine und große Schamlippen und den Schamhügel umfasst) einschließlich Kitzler (Klitoris), bei Männern im Bereich von Penis und Hodensack. Es kann auch nur einer dieser Bereiche betroffen sein, so zum Beispiel ausschließlich Schmerzen im Bereich der Klitoris.</t>
  </si>
  <si>
    <t>SQFBK79H</t>
  </si>
  <si>
    <t>Wie Sie wissen, erfolgt der wesentliche Teil der Nervenversorgung der Vulva über den Pudendusnerv, der im Bereich des Kreuzbeins den Wirbelkanal verlässt und durch  das Becken mit seinen Ästen zu Enddarm, Damm, Scheide, Vulva, Harnröhre und  Kitzler zieht.</t>
  </si>
  <si>
    <t>DZ76PZZ3</t>
  </si>
  <si>
    <t>Therapiehandbuch Gynäkologie und Geburtshilfe: mit 110 Tabellen</t>
  </si>
  <si>
    <t>DEUKYBQZ</t>
  </si>
  <si>
    <t>418</t>
  </si>
  <si>
    <t>Die exzidierenden Verfahren haben den Vorteil,  dass die histologische Aufarbeitung der gesamten  Läsion erfolgen kann. Insbesondere bei uni- oder  zumindest oligofokalen Läsionen ist die Exzision  deshalb häufig zu bevorzugen, bei der differenzierten VIN sogar unbedingt notwendig. Vor Destruktion der Läsionen und dem Off-label-Versuch einer  medikamentösen Therapie, die sich insbesondere  für multifokale VIN oder schlecht zu resezierende  Lokalisationen (z. B. Praeputium clitoridis) eignen, muss durch häufig multiple Biopsien eine Invasion  ausgeschlossen werden.</t>
  </si>
  <si>
    <t>8D9D3CRM</t>
  </si>
  <si>
    <t>419</t>
  </si>
  <si>
    <t>Dies führte zu der Empfehlung eines gesunden Resektionsrandes von 10 mm am nicht fixierten Präparat nach Einbeziehung der formalinbedingten Gewebsretraktion. Allerdings kann bei besonderen Umständen auch ein geringerer Resektionsrand akzeptiert werden, wenn dadurch ein klitoriserhaltendes Vorgehen ermöglicht wird. Es sollte aber in jedem Fall in sano operiert werden und ggf. die Patientin über das erhöhte Lokalrezidivrisiko aufgeklärt werden.</t>
  </si>
  <si>
    <t>GHJDKRIQ</t>
  </si>
  <si>
    <t>RNUW37UU</t>
  </si>
  <si>
    <t>Die Clitoris (Kitzler) liegt am oberen  Ende der kleinen Schamlippen und wird vom  Preputium clitoridis (Kitzlervorhaut) bedeckt.</t>
  </si>
  <si>
    <t>E9NS23IM</t>
  </si>
  <si>
    <t>Taschenatlas Physiologie: mit 44 Tabellen</t>
  </si>
  <si>
    <t>4IN5IWHF</t>
  </si>
  <si>
    <t>172</t>
  </si>
  <si>
    <t>Sinneseindrücke oder alleine Imagination können über supraspinale Zentren parasympathische Fasern aus dem Sakralmark (blau) aktivieren. Sie werden im Plexus hypogastricus inferior umgeschaltet und versorgen die erektilen Gewebe im Penis bzw. in Klitoris, Labiae und äußerer Vagina über den N. splanchnicus pelvicus (→ Abb. 7.11).</t>
  </si>
  <si>
    <t>TT9RUXTC</t>
  </si>
  <si>
    <t>Sensible Afferenzen (rot)  stammen v.a. aus der Glans penis bzw. der Klitoris und den Labiae und ziehen mit dem N. pudendus zum Sakralmark.</t>
  </si>
  <si>
    <t>JSURF64I</t>
  </si>
  <si>
    <t>Arbeitsbuch Anatomie und Physiologie für Pflege- und andere Gesundheitsfachberufe</t>
  </si>
  <si>
    <t>9PEUJK3Y</t>
  </si>
  <si>
    <t>320</t>
  </si>
  <si>
    <t>Äußere Geschlechtsorgane (äußeres Genitale)  Das äußere Genitale der Frau wird zur Vulva zusammengefasst.  • Scheidenvorhof (Vestibulum vaginae)  Bartholin-Drüsen  • Große Schamlippen (große Labien) • Kleine Schamlippen (kleine Labien)  • Kitzler (Klitoris)</t>
  </si>
  <si>
    <t>VWYZNUFA</t>
  </si>
  <si>
    <t>321</t>
  </si>
  <si>
    <t>Der Kitzler (Klitoris) ist ein kleines schwellfähiges (erektiles) Organ und liegt am vorderen Ende der kleinen Schamlippen. Entwicklungsgeschichtlich und damit in seiner Bauart entspricht er den Schwellkörpern des Penis. Die Klitoris dient der Wahrnehmung der  geschlechtlichen Erregung.</t>
  </si>
  <si>
    <t>92WGKZHG</t>
  </si>
  <si>
    <t>322</t>
  </si>
  <si>
    <t>Der sexuelle Reaktionszyklus des Mannes beginnt mit der Erektion des Penis, jener der Frau mit Veränderungen an den äußeren Geschlechtsorganen, wie der Vergrößerung der äußeren Genitalien, nämlich der Schamlippen und der Klitoris sowie Erektion der Brustwarzen und Veränderungen an den inneren Geschlechtsorganen (Absonderung mukoider Flüssigkeit in der Vagina).</t>
  </si>
  <si>
    <t>Y2JWCHP4</t>
  </si>
  <si>
    <t>323</t>
  </si>
  <si>
    <t>Erregungsphase ABSATZAuslösung erotischer Empfindungen durch unterschiedliche Reize (visuell, auditiv, taktil aber auch aufgrund von Fantasien). Besonders sensibel auf Berührung reagieren bestimmte Körperregionen, die sog. erogenen Zonen (Klitoris, kleine Schamlippen und Brustwarzen bei der Frau, Eichel beim Mann, aber auch Hautbezirke um den Mund und den After sowie an den Innenseiten der Oberschenkel oder an den Ohrläppchen).</t>
  </si>
  <si>
    <t>SDXUJM3C</t>
  </si>
  <si>
    <t>Strafrecht, besonderer Teil I: Straftaten gegen Persönlichkeitsrechte, Staat und Gesellschaft</t>
  </si>
  <si>
    <t>IU4R9FBU</t>
  </si>
  <si>
    <t>Die äußeren Genitalien schließen die äußeren Schamlippen, die kleinen Schamlippen, den Scheidenvorhof und die Klitoris samt Klitorisvorhaut ein.</t>
  </si>
  <si>
    <t>E9LNRF6B</t>
  </si>
  <si>
    <t>Als Verstümmeln sind alle Handlungen anzusehen, die mit mechanischen Mitteln zu Einbußen an Körpersubstanz im Bereich der äußeren weiblichen Genitalien führen.103  Damit sollen neben den von der Weltgesundheitsorganisation (WHO) als Klitoridektomie, Exzision und Infibulation typisiert umschriebenen Erscheinungsformen der Beschneidung von Frauen und Mädchen auch sonstige Veränderungen an den weiblichen Genitalien - wie etwa Einschnitte, Ätzungen oder Ausbrennen - erfasst werden.104 Danach reichen die Tathandlungen vom Entfernen von Gewebe aus dem Körper, Entfernung der Klitoris bis zur vollständigen Verschließung der weiblichen Genitalöffnung.</t>
  </si>
  <si>
    <t>INDQBXBD</t>
  </si>
  <si>
    <t>Thiemes Altenpflege in Lernfeldern</t>
  </si>
  <si>
    <t>ZCZR45E9</t>
  </si>
  <si>
    <t>405</t>
  </si>
  <si>
    <t>ÄußereGeschlechtsorgane  der Frau:  Große und kleine Schamlippen (Labien),  Klitoris.  - Scheidenvorhof.  Vorhofdrüsen.</t>
  </si>
  <si>
    <t>A9NJE4T6</t>
  </si>
  <si>
    <t>406</t>
  </si>
  <si>
    <t>Die äußeren, sichtbaren weiblichen Geschlechts  organe werden unter dem Begriff Vulva zusam  mengefasst, dazu gehören die kleinen und großen  Schamlippen, der Kitzler (Klitoris) sowie derSchei denvorhof. Der Kitzler befindet sich am oberen Winkel der kleinen Schamlippen und weist zahlreiche Nervenendigungen für die sexuelle Erregung auf, darunter mündet die Harnröhre ein.</t>
  </si>
  <si>
    <t>MI5JDMF9</t>
  </si>
  <si>
    <t>Strafgesetzbuch: mit Nebengesetzen</t>
  </si>
  <si>
    <t>568WQDF2</t>
  </si>
  <si>
    <t>1613</t>
  </si>
  <si>
    <t>[Kontext: Gesetzgebung zu FGM/C]ABSATZABSATZAuch im Verhältnis zu anderen Rechtsgütern ist die exzessive Strafdrohung kaum zu verstehen: Wer zB gegen den Willen einer Frau deren Kind im sechsten Monat durch Fußtritte abtreibt, hat eine Strafe von sechsMonaten bis zu fünf Jahrenzu befürchten (§ 218 II),also ein Drittel dessen, was ihm im Fall einer,,Verstümmelung" der Klitorisvorhaut derselben Frau droht.</t>
  </si>
  <si>
    <t>U6VN24EP</t>
  </si>
  <si>
    <t>A. Äußere Genitalien sind die äußeren Schamlippen, die inneren oder kleinen 9 Schamlippen, Scheidenvorhof, Klitoris samtKlitorisvorhaut.</t>
  </si>
  <si>
    <t>P8RF5KFB</t>
  </si>
  <si>
    <t>1614</t>
  </si>
  <si>
    <t>Die WHO hat als typische Form der Genitalverstümmelung die Klitoridectomie (Entfernung der Klitoris), vollständige oder teilweiseEntfernung andereräußerer Geschlechtsorgane sowie weitere Veränderungen an den Genitalien durch Schnitte, Ätzungen, Brennungen beschrieben.</t>
  </si>
  <si>
    <t>EIEPU3G5</t>
  </si>
  <si>
    <t>Tatsächlich sind manchen Formen der Genitalverstümmelung bei Mädchen (Beschneiden der Klitoris-Vorhaut; sog. „,milde sunna") von solchen bei Knaben (Beschneiden der Penis-Vorhaut) kaum zu unterscheiden (vgl. auch Hardtung, Anhörung [1a], 2 f.; Fünfsinn [ebd. 7]; Terredes Femmese.V., Studiezuweiblicher Genitalverstümmelung, 2005, 4; Hörnle Gutachten 70. DJT, 2014, C 53, 55,  vgl.zuFormenundFolgen auchSotiriadisZIS141320,321ff)</t>
  </si>
  <si>
    <t>N5QXI8PQ</t>
  </si>
  <si>
    <t>Rechtsfragen medizinischer Intervention bei intersexuell geborenen Minderjährigen</t>
  </si>
  <si>
    <t>AH58DIBS</t>
  </si>
  <si>
    <t>Die häufigste Störung der Geschlechtsentwicklung bei genetisch weiblichen Neugeborenen ist das Andrenogenitale Syndrom (AGS).106 Es kann  ein inkompletter bis kompletter Defekt der Kortisol- und Aldosteronsynthese vorliegen.107 Die kompensatorische Überproduktion männlicher Sexualhormone führt insbesondere zu einer Erhöhung der Androgene, wodurch bei den betroffenen Mädchen bei Geburt eine ausgeprägte genitale Virilisierung108 mit Klitorishypertrophie109 vorliegt.</t>
  </si>
  <si>
    <t>CDXPIUGF</t>
  </si>
  <si>
    <t>Als Klitorishypertrophie wird in der Medizin eine abnormale Vergrößerung der Klitoris verstanden. Frauen leiden hierbei unter einer Klitoris, die teilweise  durch ihre ungewöhnliche Größe dem männlichen Penis ähnelt.</t>
  </si>
  <si>
    <t>FSEF8ECL</t>
  </si>
  <si>
    <t>[Kontext: AGS]ABSATZABSATZDie Bandbreite erstreckt sich von einer leichten Klitorishypertrophie bis zu einer kompletten Fusion der Labioskrotalfalten mit Ausbildung einer penisartigen Klitoris, auf deren Glans die Urethra mündet.114</t>
  </si>
  <si>
    <t>HU4NKQ5A</t>
  </si>
  <si>
    <t>Feminisierende Operationen dienen der Konstruktion eines weiblichen Genitals. Früher umfassten sie die Amputation der Klitoris, heute zum einen die Klitorisreduktionsplastik mit Bildung kleiner Labien und die Rekonstruktion der distalen Vagina.177 Die Klitorisentfernung hatte oft den Verlust der Sensibilität zur Folge, weshalb sie heute keine akzeptable Operationsmethode mehr darstellt.178 Heute kann durch Verwendung von Lupenbrillen und OP-Mikroskopen das Gefäßnervenbündel schonender präpariert werden, um das Risiko eines späteren Gefühlsverlustes zu verringern.179</t>
  </si>
  <si>
    <t>73WHYTCC</t>
  </si>
  <si>
    <t>[Kontext: Klitorisreduktionsplastik bei intersexuellen Kindern]ABSATZABSATZÜber den optimalen Zeitpunkt der Operation herrscht Uneinigkeit.180 Einige Ärzte empfehlen die Anpassung des Geschlechts bis zum Abschluss des ersten, spätestens des zweiten Lebensjahres.181 Kinderchirurgen im Kinderkrankenhaus Auf der Bult (Lehrkrankenhaus der Medizinischen Hochschule Hannover) empfehlen Klitorisreduktionen, wenn das Kind endokrinologisch stabil ist, d. h. mit fünf bis sechs Monaten. 182 Für die frühe Operation wird vorgebracht, dass das normale Aussehen beruhige und die Identifikation mit der eigenen Geschlechtsrolle fördere. Andere Mediziner lehnen eine Klitorisreduktion in der frühen Kindheit ab, da sich diese bei leichteren Erscheinungsformen „herauswachse".183</t>
  </si>
  <si>
    <t>ZL8DLQ6H</t>
  </si>
  <si>
    <t>Neben der Klitorisreduktion, die der Herstellung eines weiblich aussehenden äußeren Genitals dient, besteht die Möglichkeit zur Anlage einer  sog. Vaginalplastik.</t>
  </si>
  <si>
    <t>NUIKFVCD</t>
  </si>
  <si>
    <t>In der Praxis wurden bislang eher feminisierende als maskulinisierende Operationen vorgenommen. 188 Es ist grundsätzlich leichter, ein Kind zu ,,verweiblichen", da der Aufbau eines Penis durch die Größe und den Aufbau des vorhandenen Schwellkörpers begrenzt wird, Klitorisreduzierungen aber in der Regel unproblematisch möglich sind.189</t>
  </si>
  <si>
    <t>P2ULRDF6</t>
  </si>
  <si>
    <t>Daher werden intersexuelle Personen von  der Medizin als Männer oder Frauen dargestellt, deren sexuelle Entwicklung unvollständig ist.338 Ihr körperlicher Zustand wird nicht als dem typischen männlichen oder weiblichen Körper ebenbürtig angesehen und als  etwas von der Norm Abweichendes, ja Krankhaftes, bewertet. Dabei sind  die Standards, wann ein Genital männlich oder weiblich ist, selbst nur medizinisch konstruiert. So spezifizieren Mediziner 0,2 bis 0,9 Zentimeter als angemessene Länge für die Klitoris eines neugeborenen Mädchens und 2,5  bis 4,5 Zentimeter für den Penis eines neugeborenen Jungen.339 Es existiert  kein Bereich, in dem sich die tolerierten Maße überschneiden. Die Psychologin Suzanne Kessler hat in einer explorativen Studie mit Studenten herausgefunden, dass diese eine weitaus größere Bandbreite an längeren Klitorides und kürzeren Penissen akzeptieren. Die geschätzte Länge der Klitoris  eines neugeborenen Mädchens gaben sie mit 0,9 bis 1,9 Zentimeter und  die des Penis eines neugeborenen Jungen mit 2,1 bis 3,6 Zentimeter an.340</t>
  </si>
  <si>
    <t>74V57MHN</t>
  </si>
  <si>
    <t>Die Klägerin544 wurde 1959 geboren. Bei ihrer Geburt wurde verkannt, dass bei ihr ein Adrenogenitales Syndrom (AGS) vorlag, was dazu führte, dass ihre Klitoris übermäßig groß war. Infolgedessen wurde sie für einen Jungen mit einem (Mikro-)Penis gehalten. Sie wurde als Junge beim Standesamt angemeldet und entsprechend erzogen.ABSATZ[Fußnote:] 544 Im Jahr 2010 erschien ein Roman, in dem sie ihre Lebensgeschichte veröffentlichte, Völling, Ich war Mann und Frau.</t>
  </si>
  <si>
    <t>356IP8G8</t>
  </si>
  <si>
    <t>Ziel der meisten als kosmetische Operationen einstufbaren Eingriffe an intersexuellen Kindern ist, das Genital so zu verändern, dass heterosexueller Geschlechtsverkehr möglich ist.665 Dazu gehören die Klitorisreduktion, die Vaginalplastik (Neovagina) und Penisoperationen. Alle Operationen haben gemeinsam, dass durch sie die Sensibilität eingeschränkt oder gefährdet werden kann und sich das Gewebe später in der Pubertät unter dem Einfluss der Sexualhormone aufgrund von Narbensträngen möglicherweise nicht ungestört entwickeln kann.666</t>
  </si>
  <si>
    <t>IAHITX6Q</t>
  </si>
  <si>
    <t>Bei der Klitorisreduktion wird die Klitoris, die als zu groß empfunden wird, operativ verkleinert. Dabei werden unterschiedliche Operationsmethoden angewendet: Neben der Klitorektomie, bei der die Klitoris vollständig amputiert wird, kommt heute vor allem die Klitorisrezession zum  Einsatz, bei der der sichtbare Teil der Klitoris verkleinert und unter einer  Hautfalte versteckt wird, sodass nur noch die Spitze zu sehen ist.667</t>
  </si>
  <si>
    <t>78ZGGUZE</t>
  </si>
  <si>
    <t>Gerade bei einem  Mikropenis hat sich gezeigt, dass nicht wenige Betroffene es lernen, mit ihrem kleinen Penis umzugehen (im wahrsten Sinne des Wortes). Sie haben weit weniger Probleme als Männer, die mehreren Phalloplastik-Operationen unterzogen wurden.674 Aus diesen Erkenntnissen kann ebenso wie  bei Klitorisreduktionen und Vaginalplastiken geschlussfolgert werden,  dass für den Großteil der Penisoperationen keine medizinische Indikation  besteht und es sich folglich um kosmetische Operationen handelt.</t>
  </si>
  <si>
    <t>SS39GWV9</t>
  </si>
  <si>
    <t>Religionsfreiheit und Strafrecht</t>
  </si>
  <si>
    <t>F4ICR25J</t>
  </si>
  <si>
    <t>140</t>
  </si>
  <si>
    <t>[Kontext: Gesetzgebung zur "Verstümmelung weiblicher Genitalien"]ABSATZABSATZHinsichtlich der Tathandlungen des Verstümmelns verweist der Gesetzgeber auf die von der WHO klassifizierten Formen der Beschneidung von Frauen und Mädchen.317 Als Tathandlung umfasst sein sollen danach die Entfernung der Klitorisvorhaut (Klitoridektomie), die teilweise oder vollständige Entfernung der Klitoriseichel und der inneren Schamlippen (Exzision) sowie die Verengung der Vaginalöffnung durch das Zusammenfügen der inneren und/oder der äußeren Schamlippen (Infibulation).318</t>
  </si>
  <si>
    <t>45IKW2A7</t>
  </si>
  <si>
    <t>146</t>
  </si>
  <si>
    <t>Die Beurteilung von Intensität und Folgen der Beschneidung von Jungen und Mädchen darf allerdings nicht zu stark pauschalisierend erfolgen. So sind die Formen der weiblichen Genitalbeschneidung vielfältig und umfassen unter anderem auch die bisweilen als „milde Sunna“ bezeichnete  Entfernung der Klitorisvorhaut. Diese ist von ihrer Intensität und ihren gesundheitlichen Folgen her mit einer Zirkumzision vergleichbar.348 In derartigen Fällen kann daher eine Vergleichbarkeit der Sachlagen und in der Folge  eine verfassungswidrige Ungleichbehandlung gleichartiger Sachverhalte  durch die unterschiedlichen gesetzgeberischen Regelungen bestehen. 349 Den  zu stark generalisierenden Ausführungen in der Gesetzesbegründung zu  § 1631d BGB, wonach sich die Beschneidung der weiblichen Genitalien  grundlegend von der männlichen Genitalbeschneidung unterscheiden soll,350  kann demnach jedenfalls für diese Konstellation nicht zugestimmt werden.  Eine verfassungsrechtliche Rechtfertigung für diese einfachgesetzliche Ungleichbehandlung ist nicht ersichtlich, so dass hinsichtlich der „,milden  Sunna" und der Zirkumzision eine nicht gerechtfertigte Ungleichbehandlung gleichartiger Sachverhalte vorliegt.351</t>
  </si>
  <si>
    <t>RLTY273N</t>
  </si>
  <si>
    <t>147</t>
  </si>
  <si>
    <t>Die Ungleichbehandlung [von der Beschneidung männlicher und weiblicher Genitalien] führt als Rechtsfolge aber nicht zur Verfassungswidrigkeit der ganzen Vorschrift des § 226a StGB. Vielmehr besteht die Möglichkeit, eine Vereinbarkeit mit der Verfassung über eine verfassungskonforme Auslegung des Tatbestandsmerkmals des Verstümmelns zu erzielen. Aus dem Tatbestand auszuschließen sind demnach Handlungen, die in ihrer Intensität und ihren gesundheitlichen Risiken einer Beschneidung des männlichen Kleinkindes vergleichbar sind.352 Dies wird in erster Linie bei der bloßen Entfernung der Klitorisvorhaut der Fall sein. Neben einer verfassungskonformen Auslegung von § 226a StGB erscheint darüber hinaus für diese Konstellationen eine analoge Anwendung der weiteren Voraussetzungen von § 1631d BGB geboten.353ABSATZABSATZ[Fußnote:] 352 Lackner/Kühl/Heger, StGB, 29. Aufl. 2018, § 226a Rn. 3; Hörnle, in: Verhandlungen des 70. Deutschen Juristentages, Band I Gutachten, Teil C, 2014, S. 55 f.; Sotiriadis, ZIS 2014, 320 (326); vgl. auch Wolters, in: Systematischer Kommentar, StGB, 9. Aufl. 2017, § 226a Rn. 8, 13, der das Tatbestandsmerkmal des Verstümmelns dahingehend restriktiv auslegen will, dass allein Tathandlungen erfasst werden, die zur Zerstörung oder dauerhaften Beeinträchtigung der sexuellen Empfindsamkeit führen; ähnlich Böse, in: Kindhäuser/Neumann/Paeffgen, StGB, 5. Aufl. 2017, § 226a Rn. 11 ff.; die Möglichkeit einer verfassungskonformen Auslegung ablehnend hingegen Hardtung, in: Münchener Kommentar, StGB, 3. Aufl. 2017, § 226a Rn. 31, der allerdings im Ergebnis im Rahmen einer systematischen Auslegung ebenfalls die Beschneidung der Klitorisvorhaut aus dem Tatbestand ausklammert (a. a. O. Rn. 61).</t>
  </si>
  <si>
    <t>UJ9ZXK7A</t>
  </si>
  <si>
    <t>Allgemeine Anatomie und Bewegungssystem</t>
  </si>
  <si>
    <t>STCWDZ8S</t>
  </si>
  <si>
    <t>Die Differenzierung der Geschlechtsorgane beginnt ungefähr in der 8.-9. Fetalwoche. In der 13. Woche ist der Geschlechtsunterschied deutlich sichtbar, ab der 16. Woche voll ausgebildet:ABSATZ• Beim männlichen Fetus vergrößert sich unter dem Einfluss von Testosteron der Genitalhöcker zum Phallus und bildet den späteren Penis. Der Sinus urogenitalis schließt sich durch Verschmelzung der Genitalfalten vollständig und bildet die Pars spongiosa der Urethra. Die Genitalwülste (Skrotalwülste) vereinigen sich zum Scrotum.ABSATZ• Beim weiblichen Fetus (Fehlen von Testosteron) bilden sich aus dem Genitalhöcker das Corpus clitoridis sowie die Crura clitoridis. Der Sinus urogenitalis bleibt als Vestibulum vaginae offen und die beiden Genitalfalten bilden die kleinen Vulvalippen (Labia minora). Die Genitalwülste vergrößern sich und bilden die großen Vulvalippen (Labia majora), die Bulbi vestibuli sowie das sog. RSP (infra-corporeal Residual Spongy Part).</t>
  </si>
  <si>
    <t>QR3Q5IEZ</t>
  </si>
  <si>
    <t>[Kontext: Merkmale des "Hermaphroditismus verus (echtes Zwittertum)"]ABSATZABSATZSehr seltene Zwitterbildung (in etwa 70% der Fälle weiblicher Karyotyp: 46,XX). Die Keimdrüsen enthalten sowohl Hoden-als auch Ovargewebe (Ovotestis), wobei das Ovargewebe überwiegt. Die äußeren Geschlechtsorgane sind daher in der Regel weiblich ausgeprägt, jedoch mit einer deutlich vergrößerten Clitoris. Ein Uterus ist häufig vorhanden. Die meistens Hermaphroditenwerden als Mädchen aufgezogen.</t>
  </si>
  <si>
    <t>26ZMZEKM</t>
  </si>
  <si>
    <t>[Kontext: Pseudohermaphroditismus femininus]ABSATZABSATZBeispiel: angeborenes adrenogenitales Syndrom (1:5000 Lebendgeburten):ABSATZ- 46,XX-Chromosomensatz;ABSATZ- innere Genitalorgane weiblich, Maskulinisierung der äußeren Genitalien (Vergrößerung der Clitoris, partielle Fusion der großen Vulvalippen (früher Schamlippen), kleiner Sinus urogenitalis, s.D);</t>
  </si>
  <si>
    <t>LACU3UJE</t>
  </si>
  <si>
    <t>[Kontext: Arterielle Versorgung der äußeren weiblichen Geschlechtsorgane]ABSATZWie bei Penis und Scrotum wird die arterielle Versorgung von der A. pudenda interna übernommen. Sie tritt aus der Fossa ischioanalis (hier nicht zu sehen) und zieht nach Abgabe der A. rectalis inferior zum Anus, an den Hinterrand des Diaphragma urogenitale. Mit einem weiteren Zweig, der A. perinealis, versorgt sie Dammregion und Schwellkörpermuskeln sowie den hinteren Teil der groBen Vulvalippen (Rr.labiales posteriores). Im oberflächlichen Dammraum (Spatium superficiale perinei, hier nicht zu sehen, s. S. 191) verzweigt sich die A. pudenda interna in ihre Endäste, die A. bulbi vestibuli (zum Bulbus vestibuli) und die Aa. profunda u. dorsalis clitoridis (zum Corpus cavernosum clitoridis). Der vordere Teil der großen Vulvalippen wird über die Aa. pudendae externae (Rr. labiales anteriores) aus der A. femoralis versorgt (hier nicht zu sehen).</t>
  </si>
  <si>
    <t>56D52FFP</t>
  </si>
  <si>
    <t>Die Lymphe aus den äußeren weiblichen Geschlechtsorganen fließt in die NIL.inguinales superficiales ab. Einzige Ausnahme bilden die vorderen Klitorisanteile (Corpus und Glans clitoridis). Sie führen ihre Lymphe in die NII. inguinales profundi und NII. iliaci interni ab.</t>
  </si>
  <si>
    <t>BMGY8J8K</t>
  </si>
  <si>
    <t>Der venöse Abfluss erfolgtABSATZ- aus den Vv. profundae clitoridis, Vv. labiales posteriores sowie der V. bulbi vestibuli in die V. pudenda interna.ABSATZ- aus den Vv. dorsales superficiales clitoridis und Vv. labiales anteriores in die Vv. pudendae externae (hier nicht zu sehen) undABSATZ-  aus der V. dorsalis profunda clitoridis in den Plexus venosus vesicalis.</t>
  </si>
  <si>
    <t>X4NITDZR</t>
  </si>
  <si>
    <t>Schwellkörpergewebe: Das Schwellkörpergewebe der Clitoris ist um die beiden Schenkel  der Clitoris (Crura clitoridis) und ihren kurzen Schaft (Corpus clitoridis) herum lokalisiert. Es entspricht dem Schwellkörpergewebe beim Mann und hat in diesem Fall sogar analoge Bezeichnungen: Corpora cavernosa clitoridis (dextrum u. sinistrum), entsprechend den Corpora cavernosa penis. Ebenso wird die Anschwellung am Ende des Klitorisschafts analog zur Glans penis als Glans clitoridis bezeichnet. Sie wird wie die Glans penis sensibel innerviert und ist größtenteils von einem Preputium clitoridis bedeckt. Das Schwellkörpergewebe der kleinen Vulvalippen ist in den unbehaarten und fettgewebefreien Hautfalten der kleinen Vulvalippen lokalisiert und wird als Bulbus vestibuli bezeichnet. Dem Bulbus vestibuli entspricht beim Mann das Corpus spongiosum  penis.  Schwellkörpermuskeln: Die beiden Schenkel,  mit denen die Clitoris beiderseits vom unteren  Schambeinast entspringt, sind vom M. ischiocavernosus bedeckt; das dichte, schwellfähige  Venengeflecht in der Basis der Vulvalippen vom M. bulbospongiosus.</t>
  </si>
  <si>
    <t>HQ488XTP</t>
  </si>
  <si>
    <t>Der N. pudendus tritt aus der Fossa ischioanalis und zieht,  nach Abgabe der Nn. rectales inferiores zum M.sphincter ani externus und zur Haut des Anus, an den Hinterrand des Diaphragma urogenitale, wo er sich in seine Endäste (Nn. perineales) aufspaltet. Die oberflächlichen Äste ziehen durch das Spatium perinei superficiale (hier nicht zu sehen) zur Haut des Damms und zu den hinteren Anteilen der großen Vulvalippen (Rr. labiales posteriores). Die tiefen Äste verlaufen im Spatium profundum perinei und innervieren über Rr.musculares die Schwellkörpermuskeln und über den N. dorsalis clitoridis die Clitoris. Die vorderen Anteile der großen Vulvalippen werden von Rr. labiales anteriores aus dem  N. ilioinguinalis versorgt (hier nicht zu sehen).</t>
  </si>
  <si>
    <t>CZ4QETDV</t>
  </si>
  <si>
    <t>Die kleinen Vorhofdrüsen (Glandulae vestibulares minores - hier nicht zu sehen) münden mit zahlreichen Öffnungen in der Nähe des Ostium urethrae  externum, die paarigen großen Vorhofdrüsen (Glandulae vestibulares majores bzw. Bartholin-Drüsen) mit jeweils einem 1 cm langen Gang am Hinterrand des Bulbus vestibuli auf der Innenfläche der kleinen VulvaM. ischiocavernosus  N. dorsalis clitoridis  Plexus sacralis  N. pudendus  Nn. rectales inferiores  M.sphincter ani externus  Rr. labiales Nn. perineales posteriores  F Innervation der äußeren weiblichen  Geschlechtsorgane  lippen.</t>
  </si>
  <si>
    <t>FJE6Z9N7</t>
  </si>
  <si>
    <t>Als Bulboklitoralorgan bezeichnen Marino und Lepidi (2014) die eng miteinander verbundenen kavernösen und spongiösen Strukturen des äußeren weiblichen Genitale (Corpora cavernosa bzw. spongiosa). Als erektile Schwellkörper spielen diese Strukturen eine zentrale Rolle bei der sexuellen Erregung und sind wichtige Orte der Erzeugung weiblicher Lust. Zu den Corpora cavernosa gehören: ⚫ auf- und absteigender Teil des Klitoriskörpers (Corpus clitoridis, Pars ascendens/descendens), " Klitoriswinkel (Angulus clitoridis) sowie ⚫linker und rechter Klitorisschenkel (Crus clitoridis sinistrum/dextrum). Die Corpora spongiosa bestehen aus: ° Klitoriseichel (Glans clitoridis), • Vorhofbulben (Bulbi vestibuli, paarig) und (infra-corporeal unter dem Klitoriskörper") RSP - Residual Spongy Part. Beide Corpora liegen kaudal der Symphyse zwischen den beiden Rr. inferiores des Schambeins im sog. Schambeinbogen (=Arcus pubicus). Die Befestigung des Bulboklitoralorgans am kleinen Becken erfolgt sowohl über das Lig. suspensorium clitoridis, das vom gesamten Klitoriskörper breitflächig zur Symphyse zieht (s. b), als auch über die retrokruralen Faszien der Klitorisschenkel an den Rr. inferiores ossis pubis. Beachte: Das Bulboklitoralorgan ist von der Glans clitoridis bis zu den Enden der Klitorisschenkel etwa 9 cm lang. Die Fourchette (Frenulum labiorum minorum) verbindet die posterioren Ausläufer der beiden kleinen Vulvalippen und begrenzt die Fossa navicularis. Das Frenulum clitoridis (Klitorisbändchen) ist paarig und zieht von der Glans clitoridis in die jeweilige kleine Vulvalippe. Als einzige, von außen sichtbare Struktur erkennt man den vorderen Teil der Glans clitoridis unter der klitoralen Vorhaut (Preputium clitoridis).</t>
  </si>
  <si>
    <t>RSHG7EU2</t>
  </si>
  <si>
    <t>Aufgrund ihrer gemeinsamen embryonalen Anlage (s.S.230) stehen die Klitoriseichel und die beiden Bulbi vestibuli über das RSP in Verbindung. Unmittelbar unterhalb der Bulbuskommissur (Commisura bulbi vestibuli) verlaufen Harnröhre und Vagina (s.b). Die vom Vestibulum sicht-und tastbare Vorwölbung zwischen Harnröhrenöffnung und Glans clitoridis entspricht der bindegewebigen Verschmelzung der beiden Urogenital falten und wird als Raphe bzw. als Harnröhrenzügel bezeichnet (s.a).  Zwischen RSP und absteigendem Klitoriskörper befindet sich einVenen komplex aus 8-10 Vv. communicantes, der nach Georg Ludwig Kobelt. 1844, benannte sog. Kobeltsche Venenkomplex. Bei sexueller Erregung pressen die Muskeln der Klitorisschenkel (M. ischiocavernosus) und der Vorhofbulben (M. bulbospongiosus) rhythmisch Blut über den Kobeltschen Venenkomplex in den Klitoriskörper und die Klitoriseichel.</t>
  </si>
  <si>
    <t>BPVEJZU4</t>
  </si>
  <si>
    <t>Der N. dorsalis clitoridis zieht, von lateral kommend, entlang des jeweiligen Crus clitoridis auf die Dorsalseite des Klitoriskörpers und verläuft zunächst geschützt im Lig. suspensorium clitoridis, später zwischen Tunica albuginea und Fascia clitoridis weiter zur Glans clitoridis (s.b). An der Grenze zur Glans clitoridis beginnt die  eigentliche Aufzweigung des noch immer etwa 2 mm dicken Endastes  des N. dorsalis clitoridis (d. h. 95% der gesamten afferenten Nervenfasern beginnen in der Glans, zuvor zweigen nur einige wenige seitliche Äste ab). Mit ihren über 8000 sensorischen Nervenendigungen ist die Klitoriseichel eine der empfindlichsten Strukturen des weiblichen Körpers. Neben freien Nervenendigungen spielen v. a. korpuskuläre Mechanorezeptoren (im Wesentlichen Genital- und Vater-Pacini-Körperchen, hier nicht dargestellt) eine wichtige Rolle bei der Generierung sexueller Erregung und dem Auslösen des Orgasmus (Haag-Wackernagel, 2021a, 2021b und 2022).</t>
  </si>
  <si>
    <t>FWZJAUCF</t>
  </si>
  <si>
    <t>B WHO-Klassifikation der Beschneidungsformen Typ 1: Partielle oder komplette Entfernung der Glans clitoridis und/oder der Klitorisvorhaut (Preputium clitoridis). Typ II: Partielle oder komplette Entfernung der Glans clitoridis und der kleinen Vulvalippen mit oder ohne Exzision der großen Vulvalippen. Typ III: Verengung des Introitus vaginae (Infibulation) durch bedeckenden, narbigen Hautverschluss nach Entfernung oder Zusammenheftender kleinen und/oder großen Vulvalippen, mit oder ohne Entfernung der Glans clitoridis (sog. Pharaonische Beschneidung, bei der die Vaginal öffnung so eng verschlossen wird, dass nur eine winzige Öffnung für Urin und Menstruationsblut verbleibt). Typ IV: Alle anderen schädigenden Eingriffe (wie z. B. Einstechen, Einschneiden, Durchbohren, Ausbrennen, Verätzen etc.), die das weibliche Genitale verletzen und keinem medizinischen Zweck dienen.</t>
  </si>
  <si>
    <t>99NCCTJB</t>
  </si>
  <si>
    <t>[Kontext: Anatomisch-funktionelle Rekonstruktion des äußeren weiblichen Genitale nach Typ-III Beschneidung]ABSATZSpezielle rekonstruktive und mikrochirurgische Operationsverfahren ermöglichen eine weitgehende anatomische Wiederherstellung des äußeren Genitale (O'Dey 2018, 2019, 2020). Die Therapien reichen von einer vergleichsweise einfachen anatomischen Wiedereröffnung des Introitus vaginae (Defibulation) bis hin zu komplexen plastischen Operationen (z. B. Rekonstruktion der Vulvalippen, s. a u.b, Wiederherstellung einer Neoglans/Preputium clitoridis, s. c-g, rechte Seite). Während die Defibulation dazu dient, den Geschlechtsverkehr, den Harnfluss, die physiologische Entbindung sowie die Menstruation wieder zu ermöglichen, soll die Klitorisrekonstruktion v. a. chronische Schmerzen lindern und die sexuelle Empfindung verbessern.</t>
  </si>
  <si>
    <t>JL4BBAYC</t>
  </si>
  <si>
    <t>Rekonstruktion von Klitorisspitze (Neurotizing and molding of the ditoral stump-NMCS-Prozedur) und Klitorisvorhaut (Omega-domed = OD-Lappenplastik) Dieser Teil der Rekonstruktion beginnt mit dem sog. Omega-Schnitt (s. c), d.h.: • Inzision in Form eines zentralen, U-förmigen Lappens (s. A in der Abb., nach offizieller Nomenklatur ein sog. halbkreisförmiger, anterior gestielter, gut durchbluteter Transpositionslappen), der die Rekonstruktion der Klitorisvorhaut ermöglicht. Außerdem beidseitig Inzision zweier lateraler, Z-förmiger Lappen (s. B in der Abb.) für die spätere Rekonstruktion der Vorhaut; • Nach-oben-Klappen des U-förmigen Lappens und Aufsuchen des Klitorisstumpfes in der Tiefe sowie  • Lösen des Lig. suspensorium (- Mobilisieren des Klitorisstumpfes), um den Klitorisstumpf nach vorne zu ziehen und die neue Klitorisspitze (Neoglans) an der Stelle der durch Beschneidung entfernten Glans clitoridis zu platzieren und zu fixieren, s. d. • Aufsuchen der Nn. dorsales clitoridis und Reintegration beider Nerven in die neu geformte Klitorisspitze (e) sowie Verschluss der vorderen Schnittfläche mit einem Tunica-albuginea-Lappen („capping") (f); zum Schluss Rekonstruktion einer neuen Vorhaut mittels beidseitiger Z-Plastik (g): Die Z-Plastik ermöglicht eine spannungsfreie Verschiebung von Hautbereichen und wird daher häufig bei Narbenkorrekturen angewendet. Die beiden dreieckig geformten Teillappen (A und B) werden nach medial verlagert und unter der neu entstandenen Klitorissspitze miteinander vernäht. Durch die Verlagerung der beiden Z-Plastiken nach medial, wird die Basis des halbkreisförmigen Mittel-Lappens von den Seiten her einander spannungsfrei angenähert, d. h. sie verschmälert sich. Durch den Hautüberschuss entsteht an der Hebestelle ein Dach bzw. eine Haube, die neugebildete, rekonstruierte Klitorisvorhaut.</t>
  </si>
  <si>
    <t>88MXX542</t>
  </si>
  <si>
    <t>Mädchen fragen Mädchenfragen: das Buch für Mädchen ab 11 Jahren</t>
  </si>
  <si>
    <t>6Q7GYA62</t>
  </si>
  <si>
    <t>Aber im Scheidenvorhof liegen nicht nur Löcher (die Harnröhrenmündung und die Scheidenöffnung), sondern da liegt auch ganz  vorne an der Stelle, wo sich die inneren Schamlippen treffen, eine  kleine Erhebung, die sog. Klitoris, auch Kitzler genannt. Diese  Stelle ist sehr empfindlich bei Berührung, und die sanfte Berührung  der Klitoris kann besonders schön, aber bei grober Berührung u. U.  auch unangenehm oder schmerzhaft sein.</t>
  </si>
  <si>
    <t>294WBTT5</t>
  </si>
  <si>
    <t>Vulvina intersektional: Körper • Macht • Empowerment</t>
  </si>
  <si>
    <t>TZBAFGV4</t>
  </si>
  <si>
    <t>Schulbücher zum Thema Sexualkunde sind immer noch binär,  staubig und tabuisierend geschrieben. Die Anatomie von  Vulvina wird weiterhin absolut vernachlässigt. Die Klitoris  wird meist gänzlich weggelassen und auch inter* Genitalien  werden einfach gar nicht erwähnt.</t>
  </si>
  <si>
    <t>CWEGKKC8</t>
  </si>
  <si>
    <t>Es [das Urgenital] besteht aus dem Schwellkörper, aus welchem sich Klitoris oder Penis entwickeln können. Aus den Gonaden entwickeln sich Eierstöcke oder Hoden, aus dem äußeren Gewebe entwickeln sich Hodensack beziehungsweise äußere Labien. Die inneren Labien und die Kapuze der Klitoris entstehen aus dem gleichen Gewebe, woraus sich auch Penisschaft und Vorhaut entwickeln können. Die Harnröhre verläuft durch den Schwellkörper, also entweder zwischen den beiden Klitorisschenkeln hindurch oder auch durch den Penis. Die Harnröhre kann auch durch die Klitorisspitze verlaufen. Ich kenne Menschen, die sich als inter* positionieren und das Wort Vulvina ebenfalls als Selbstbezeichnung nutzen. Für Vulvina ist es gleich, ob die Harnröhre zwischen den Schenkeln oder durch die Klitorisspitze verläuft.</t>
  </si>
  <si>
    <t>3BXQJDIJ</t>
  </si>
  <si>
    <t>Die inneren Lippen werden immer noch oft als »kleine&lt;&lt; Labien  bezeichnet. Das ist missverständlich, weil sie oft nicht kleiner  sind, als die äußeren und somit aus der Umarmung der  äußeren Lippen herausragen können.  Oben, wo die äußeren Lippen zusammenwachsen, werden.  sie durch die Kapuze der Klitoris geschützt. Das ist ein kleines  Häutchen, welches die empfindliche Spitze der Klitoris  bedeckt. Wenn sich das Urgenital zum Penis entwickelt, wird  dieses Häutchen zur Vorhaut.</t>
  </si>
  <si>
    <t>SLZJLLLS</t>
  </si>
  <si>
    <t>Die Klitoris ist ein verhältnismäßig großes Organ, welches  aus Schwellgewebe besteht und sich zum überwiegenden  Teil im Inneren des Körpers befindet. Der äußerlich sichtbare  Teil, die sogenannte Klitorisperle oder -spitze, ist natürlich bei  unterschiedlichen Vulvinen unterschiedlich in Größe und Form.  Die äußeren und inneren Labien umgeben das  Schwellgewebe. Unter der Klitorisspitze befindet sich die  Harnröhrenöffnung.</t>
  </si>
  <si>
    <t>JELHMTBI</t>
  </si>
  <si>
    <t>Spürbar sind von innen die  empfindlichen Nerven der Klitoris, auch bekannt als G-Punkt.</t>
  </si>
  <si>
    <t>GA2MQR9L</t>
  </si>
  <si>
    <t>129</t>
  </si>
  <si>
    <t>Die Klitoris entwickelt sich aus dem Schwellgewebe des  Urgenitals. Aus der gleichen Anlage entwickelt sich auch der  Penis. Die Klitoris befindet sich zum großen Teil innerhalb  des Körpers, nur ihre Spitze oder auch Perle ist nach außen  sichtbar. Im Inneren besitzt sie zwei Schenkel, die sich um  die Harnröhre und um die Vulvinaöffnung schmiegen. Die Harnröhrenöffnung liegt also unter der Klitorisspitze. Die  Klitorisspitze ist, je nach Vulvina, in unterschiedlicher Größe  und Form sichtbar.</t>
  </si>
  <si>
    <t>UL8C59SX</t>
  </si>
  <si>
    <t>Manchmal verläuft die Harnröhre auch durch die Klitorisspitze.  Die meisten Menschen bezeichnen sich in diesem Fall als  inter geschlechtlich.</t>
  </si>
  <si>
    <t>6F887Z5H</t>
  </si>
  <si>
    <t>130</t>
  </si>
  <si>
    <t>Die Klitoris bildet das größte vulvinale Schwellgewebe und  schwillt bei Erregung an.  Sie wurde lange Zeit weder benannt noch beschrieben und  ist das Organ, welches vor allem für Freude und Lustgewinn  da ist. Das Verschweigen beziehungsweise Nichtbenennen  der Klitoris trägt zur Marginalisierung vulvinaler Lust und  vulvinalen Begehrens entscheidend bei. Es ist erstaunlich,  wieviel Raum die bloße Existenz von Penissen einnimmt und  wie im Gegenzug dazu die Klitoris, die aus dem gleichen  Schwellgewebe entstanden ist, verschwiegen wird. Oftmals  wird auch nur die Klitorisspitze benannt, vielen ist sie als  &gt;&gt;Kitzler&lt;&lt; bekannt.</t>
  </si>
  <si>
    <t>J65MWKAW</t>
  </si>
  <si>
    <t>Weil die Klitoris stark innerviert ist, kann es sich besonders gut  anfühlen, sie zu berühren. Das gilt in jedem Alter.</t>
  </si>
  <si>
    <t>DIE3UJJV</t>
  </si>
  <si>
    <t>139</t>
  </si>
  <si>
    <t>Die Beschneidung/Verstümmelung von Vulvinen wird auf  unterschiedliche Weise durchgeführt. Immer werden Teile von  Vulvina abgeschnitten. Meist durch Menschen, die dieses  Schicksal selbst erleben mussten und zutiefst überzeugt  sind, dass es notwendig ist. Auswirkung ist die weitere  Unsichtbarmachung und Unterdrückung des Genitals sowie  die Reduzierung vulvinaler Lust. Ich werde nie das Glück in  den Augen der Person vergessen, die erfuhr, dass die Klitoris  im Inneren weitergeht und durch eine OP die Klitorisspitze  rekonstruiert werden kann. Die Freude über die Chance,  die sexuelle Lust, die diese Person trotz der Beschneidung/  Verstümmelung empfand, irgendwann schmerzfrei erleben zu  können, war groß.</t>
  </si>
  <si>
    <t>TFRFG868</t>
  </si>
  <si>
    <t>Das kleine Körper-ABC: Lexikon</t>
  </si>
  <si>
    <t>2KWDJVKD</t>
  </si>
  <si>
    <t>KitzlerABSATZDas ist ein anderes Wort für ➡ Klitoris.</t>
  </si>
  <si>
    <t>8J7QF9L3</t>
  </si>
  <si>
    <t>KlitorisABSATZDie Klitoris (Kitzler) gehört zu den ➡ Geschlechtsorganen von Mädchen und Frauen. Manche Menschen nennen die Klitoris auch Kitzler. Die Klitoris ist wichtig für die sexuelle Lust von Mädchen und Frauen. Der Großteil der Klitoris befindet sich im Inneren des Körpers. Die Spitze der Klitoris ist gut zu sehen. Sie hat einen kleinen ,,Hut" und ist besonders empfindlich, so wie die Eichel beim Jungen und Mann. Die Spitze der Klitoris befindet sich zwischen den Vulvalippen (Schamlippen). Bei sexueller Erregung kann die Klitoris anschwellen.</t>
  </si>
  <si>
    <t>WFQULY7E</t>
  </si>
  <si>
    <t>Masturbation ist ein anderes Wort für  Selbstbefriedigung. Das bedeutet, den  eigenen Körper zu streicheln und  sich selbst an empfindsamen Stellen  wie zum Beispiel den Brustwarzen, der  Vagina (Scheide), der  (Kitzler) oder dem  Klitoris  Penis (Glied) und  den Hoden zu berühren und so  sexuell zu erregen - oft bis zum  ➡ Orgasmus. Die Masturbation ist  nicht ungesund und nicht schädlich.</t>
  </si>
  <si>
    <t>9QPA8SY5</t>
  </si>
  <si>
    <t>Als Vulva werden die äußeren weiblichen Geschlechtsorgane als Ganzes  bezeichnet. Dazu gehören die äußeren  und inneren Vulvalippen (Schamlippen), der kleine sichtbare Teil der  Klitoris (Kitzler) und der Vaginaeingang.</t>
  </si>
  <si>
    <t>Anno_Text_mit Umbrüchen</t>
  </si>
  <si>
    <t>Anatomisch-physiologisch?</t>
  </si>
  <si>
    <t>keine Klitoris-Referenz!</t>
  </si>
  <si>
    <t>Bemerkung</t>
  </si>
  <si>
    <t>inter</t>
  </si>
  <si>
    <t>Textstelle ist unvollständig! Inter</t>
  </si>
  <si>
    <t>Anno_Text_mit Umbrüchen2</t>
  </si>
  <si>
    <t>[Kontext: Die klitorale Phase] In diesem Alter hat es an der Vagina kein besonderes Interesse. Sie erscheint bedeutungslos, bis das Mädchen erkennt, wie verschieden ein Junge gebaut ist. Wenn es zum erstenmal einen männlichen Penis sieht, wird es wahrscheinlich bestürzt den Vergleich mit seinen eigenen, scheinbar unreifen Geschlechtsteilen ziehen.
Es gibt Beweise, daß ein derartiger Schock sehr häufig ist und von phantastischen Versuchen, diese Verschiedenheit zu erklären, begleitet wird. Die spontane Reaktion des Mädchens ist ein Gefühl der Minderwertigkeit, weil ihm etwas fehlt, das die Jungen besitzen. In diesem Neid ist übrigens die Wurzel der Inferioritätsgefühle zu suchen, die später oft die Beziehungen zwischen den Geschlechtern erschweren.</t>
  </si>
  <si>
    <t>[Kontext: Heilplan bei weiblicher Liebes-Unfähigkeit, Punkt 2 Reform des ehelichen Geschlechts-Lebens]
24 Nur Coitus-Techniken anwenden, bei denen jede Reizung der Clitoris unterbleibt. Clitoris-Reizung macht frigide, erzieht zu vaginaler Impotenz!</t>
  </si>
  <si>
    <t>[Kontext: Ursachen der weiblichen Liebes-Unfähigkeit, Befund 9 Falsche Coitus-Technik]
91 Gattin verlangt nach aktiver Rolle beim Coitus (Reithaltung), weil in anderen Lagen Clitorisreiz ungenügend ist. Überhaupt: Die dem Gatten gewohnte Routine wird abgelehnt, Abwechslungs-Verlangen!</t>
  </si>
  <si>
    <t>IV d) Die nachfolgenden Tabellen zeigen den in den Kapiteln ( IV b ) erläuterten Diagnoseschlüssel in seiner Gesamtheit, wie er bei der vorliegenden Untersuchung benutzt worden ist. 100 Mißbildungen, Entwicklungsfehler, Lageveränderungen
1o Vulva
11o Aplasie 111 Hypoplasie 112 113 Verdoppelung der Klitoris u.d. kleinen Labien (sog. Paranymphen ) 114 115 Cyste des Gartner, Wolffschen Ganges 116 Deszensus 117</t>
  </si>
  <si>
    <t>[Kontext: Erklärungen verschiedener Ausdrücke und andere Bezeichnungen]
Clitoris: Klitoris, Kitzler</t>
  </si>
  <si>
    <t>Pseudohermaphroditismus femininus
Anwesenheit von Ovarien. Positiver Chromatinbefund. Gradweise verschiedene Maskulinisierung der äußeren Geschlechtsorgane, penisartige Klitorishypertrophie. Häufigste Ursache der Virilisierung: NNR-Hyperplasie.</t>
  </si>
  <si>
    <t>[Kontext: "Das sogenannte »mikroinvasive Karzinom« der Vulva"]
Die großen Labien sind mit etwa 30% am häufigsten befallen. Mit absteigender Frequenz folgen kleine Labien, Klitoris, Perineum, vordere Kommissur und Urethra</t>
  </si>
  <si>
    <t>[Kontext: Melanome der Vulva)
Die Hauptlokalisation (ca. 80%) sind die Labia minora und die Klitoris.</t>
  </si>
  <si>
    <t>beim Turner-Syndrom; dabei Feb [...] behaarung, infantile Vagina [...]
fällige Klitoris, kleine oder f [...]</t>
  </si>
  <si>
    <t>Für Freud muß ein solches Fundament im Gezeugten und nicht Erlernten gerade für die weibliche «Schwäche&gt;&gt; mehr bedeutet haben als angesichts hysterischer, phobischer oder zwanghafter Symptome. Auch für diese wurde ja damals energisch eine angeborene Grundlage, eine «Degeneration&gt;&gt; postuliert. Diese Vermutung hat Freud mit dem Argument erledigt, sie sei in ihren Beweisen wenig eindeutig und in ihren Konsequenzen nur destruktiv, führe zu Resignation, wo doch eine therapeutische Hilfe durchaus möglich sei. Wie kohärent Freud aber sein Bild der Frau um das herum entwarf, was er Mill entgegenzusetzen trachtete, zeigen seine Aussagen über die Weiblichkeit:
[...]
3. Der Wechsel des Liebesobjekts (von der Mutter zum Vater) und des Musters der sexuellen Erregung (von der «phallischen» Klitoris zur Vagina) hinterläßt Frauen mit einer größeren Starre der libidinösen Fixierungen.
[...]
4. Der Penisneid bleibt im ungünstigen Fall der weiblichen Entwicklung bestehen, führt zu lebenslangen Gefühlen, unvollständig und mangelhaft zu sein, bedingt auch eine stärkere Neigung der Frau zu Ungerechtigkeit, Eifersucht, Miẞgunst und Rachsucht. Im günstigen Fall gelingt es der Frau, die klitorale Sackgasse zu verlassen, die Hoffnung aufzugeben, doch noch einen Penis zu erhalten, und diesen Wunsch durch die vaginale Begierde nach dem männlichen Penis zu ersetzen.</t>
  </si>
  <si>
    <t>[Kontext: Oberschenkelkoitus]
Wird von vorn oder hinten bzw. in jeder anderen Stellung verwendt, in der sie ihre Schenkel zusammenpressen kann. Der Penis kommt dazwischen, mit dem Schaft zwischen ihren Schamlippen, die Eichel jedoch außerhalb der Vagina, und sie drückt kräftig. Verleiht der Frau ganz besondere Empfindungen – mitunter stärker als beim Eindringen, daher lohnt sich der Versuch. Hinsichtlich der Technik braucht man nicht so streng zu sein wie unsere Ahnen, die sich bemühen mußten, das Sperma um jeden Preis aus der Vulva herauszuhalten. Mit entsprechender Vorsicht kann man das von hinten tun, wobei die Eichel tatsächlich die Klitoris streift, was eine großartige Wirkung ergibt.</t>
  </si>
  <si>
    <t>Flanquette 
Die Gruppe der Sexualstellungen, bei denen die Partner einander halb zugekehrt sind - sie liegt mit dem Gesicht ihm zugewandt und mit einem Bein zwischen seinen, infolgedessen eines seiner Beine zwischen ihren, das frontale Gegenstück der Cuissade. Die Stellung ergibt durch den pressenden Oberschenkel des Mannes einen zusätzlichen Druck auf die Klitoris.</t>
  </si>
  <si>
    <t>[Kontext: "Frigidität"]
Zur Selbsterziehung machen Sie es sich vorerst wirklich bequem - nackt oder nicht, vor einem Spiegel oder nicht, was Ihnen mehr zusagt. Denken Sie oder phantasieren Sie über alles, was irgendeine Reaktion bei Ihnen hervorbringt, dann beginnen Sie allmählich, Ihren Körper zu erforschen. Lassen Sie Ihre Hand dorthin gehen, wo es Ihr Körper wünscht - Brüste, die ganze Hautfläche, Schamlippen, Klitoris.</t>
  </si>
  <si>
    <t>Für einen Orgasmus der Frau sind folgende Dinge erforderlich: 
- Einfühlsames Vorspiel 
- Reizung der Klitoris
- Vermeidung von Schmerzen 
- Ausreichende Gleitfähigkeit von Penis und Scheide</t>
  </si>
  <si>
    <t>[Kontext:] Die folgenden Tipps können Ihnen helfen, weniger streng zu sich zu sein und Ihren Körper als Quelle sexueller Lust zu betrachten. Am besten machen Sie diese „Übungen" allein, wenn Sie viel Zeit haben und entspannt sind. [...]
5 Untersuchen Sie Ihre Vagina mit einem Handspiegel bei gutem Licht. Identifizieren Sie die einzelnen Teile. Ziehen Sie die Vorhaut der Klitoris zurück, streichen Sie mit den Fingern über die inneren und äußeren Labien und über den Damm, um weitere sensitive Stellen zu finden. Spreizen Sie die kleinen Labien und erforschen Sie die Vagina außen und innen.</t>
  </si>
  <si>
    <t>[Kontext: Erklärungsansätze zur Existenz und Relevanz der Klitoris]
3. Die Klitoris ist die Musik Johann Sebastian Bachs. Schon wiederholt habe ich beim Anhören Bachscher Musik gedacht: Ohne das gäbe es nichts. Ich habe gelauscht und gedacht: Es war unvermeidlich. Die Evolution hat kein Ziel – mit einer möglichen Ausnahme: der Welt die Brandenburgischen Konzerte Nr. 2 und 5, die Goldberg-Variationen und das Wohltemperierte Klavier zu schenken. Die Dinosaurier starben aus, auf dass Bach leben möchte. Mit anderen Worten: Die Klitoris ist eine Anpassungsleistung. Sie ist unverzichtbar oder zumindest sehr zu empfehlen. Sie ist vielseitig, großzügig, fordernd, tiefgründig, leicht und dauerhaft. Sie besitzt eine chamäleontische Fähigkeit, ihre Bedeutung den jeweiligen Umweltbedingungen anzupassen. Wie Bachs Musik lässt sie sich immer wieder neu interpretieren und aktualisieren. Vielleicht sollten wir also die Erörterung dieser These mit einer simplen Frage beginnen: Würden heute sechs Milliarden Menschen den Planeten bevölkern, wenn die Frauen nicht auf Sex aus wären? Und wie, bitte schön, sollten sie eine Fuge spielen, wenn ihre Orgel keine Pfeifen hat?</t>
  </si>
  <si>
    <t>[Kontext: Freuds Auffassungen]
Die Sensibilität der Klitoris 
Freud sagt, daß in der Pubertät bei der Frau eine Art Regression auftritt. &gt;&gt;Die Klitoris behält dann die Rolle, wenn sie beim endlich zugelassenen Sexualakt selbst erregt wird, diese Erregung an die benachbarten weiblichen Teile weiter zu leiten, etwa wie ein Span Kienholz dazu benützt werden kann, das härtere Brennholz in Brand zu setzen. Es nimmt oft eine gewisse Zeit in Anspruch, bis sich diese Übertragung vollzogen hat, während welcher dann das junge Weib anästhetisch ist. Diese Anästhesie kann eine dauernde werden, wenn die Klitoriszone ihre Erregbarkeit abzugeben sich weigert, was gerade durch ausgiebige Betätigung im Kinderleben vorbereitet wird.7 
Drei Abhandlungen zur Sexualtheorie, a.a.O., S. 122</t>
  </si>
  <si>
    <t>[Kontext: Freuds Auffassungen]
Zur Frigidität
&gt;&gt;Es ist bekannt, daß die Anästhesie der Frauen häufig nur eine scheinbare, eine lokale ist. Sie sind anästhetisch am Scheideneingang, aber keineswegs unerregbar von der Klitoris oder selbst von anderen Zonen aus. Zu diesen erogenen Anlässen der Anästhesie gesellen sich dann noch die psychischen, gleichfalls durch Verdrängung bedingten. Ist die Übertragung der erogenen Reizbarkeit von der Klitoris auf den Scheideneingang gelungen, so hat damit das Weib seine für die spätere Sexualbetätigung leitende Zone gewechselt, während der Mann die seinige von der Kindheit an beibehalten hat. In diesem Wechsel der leitenden erogenen Zone sowie in dem Verdrängungsschub der Pubertät, der gleichsam die infantile Männlichkeit beiseite schafft, liegen die Hauptbedingungen für die Bevorzugung des Weibes zur Neurose, insbesondere zur Hysterie. Diese Bedingungen hängen also mit dem Wesen der Weiblichkeit innigst zusammen.&lt;&lt;
Drei Abhandlungen zur Sexualtheorie, a.a.O., S. 122 f.</t>
  </si>
  <si>
    <t>[Kontext: Zweite Kindheitsphase]
Heutzutage, wo Jungen und Mädchen gemeinsam erzogen werden, kommt es vor, daß Jungen zwischen drei und sechs Jahren im Kindergarten den Mädchen erklären, sie zu lieben, weil sie anders gemacht sind. Sie billigen ihnen als Trost sogar das Privileg zu, ihnen beim Urinieren zuschauen zu dürfen; dafür werden die Mädchen dann zu ihren auserwählten Freundinnen oder Verlobten. Manchmal wird ein solch großzügiges Angebot ausgeschlagen, und das Mädchen vermeidet eine gewisse Zeit lang selbst emotionale Kontakte mit den allzu generösen Jungen: Es verinnerlicht seine Enttäuschung, seinen jetzigen Zustand, »ohne Penis&lt;&lt; zu sein, und hofft insgeheim auf ein Wunder, nämlich daß es mit weiterem Wachstum auch einen zentrifugalen Penis bekommen wird. In dieser Hoffnung befühlt es seine Klitoris und seine Schamlippen. Es kann sich so der klitoralen Masturbation hingeben - die Masturbation besteht nicht nur aus physischen Manipulationen, sondern auch aus selbstverliebten Handlungen - und sogar eine Art Männlichkeitskomplex entwickeln, der nach Freuds Beschreibung eine Verweigerung ist, zur Realität seines mit einer Vagina ausgestatteten Geschlechts zu gelangen.</t>
  </si>
  <si>
    <t>[Kontext: Zweite Kindheitsphase]
In allen Fällen von affektiver Gesundheit ist es für die Mädchen ganz ohne Frage eine Ehre, eine Vulva zu haben mit einem »Loch und einem Knopf«&lt; am Genitale.</t>
  </si>
  <si>
    <t>[Kontext: Zweite Kindheitsphase]
In dieser zweiten, vulvo-klitoralen Phase, die nach dem Erwerb der Sauberkeit und der Sprache (zwischen dem 25. und dem 30. Monat) einsetzt, ist alles, was implizit oder explizit im sprachlichen, sensorischen, körperlichen und im aktiv wie passiv sinnlichen Bereich geschätzt wird und wichtig ist und sowohl von der Mutter, dem Symbol der Allmacht und des Allwissens, wie auch vom Vater, dem Symbol der Autorität schlechthin, erlaubt wird, für die spätere Sexualität und Persönlichkeit der heranreifenden Frau von nicht zu überschätzender Bedeutung.111</t>
  </si>
  <si>
    <t>[Kontext: Zweite Kindheitsphase]
Die Erforschung des Körpers, die zur Masturbation führt, betrifft nicht nur die Vulva und die Klitoris, es gibt auch eine nasale, orale, anale Masturbation und die des Bauchnabels; letztere ist eine bei Erwachsenen weniger bekannte Form und weckt Empfindungen im Inneren des Unterleibs in Verbindung mit der Harnröhre und der Vulva. Schließlich existiert die noch seltenere Masturbation der Brustwarzen, die sehr starke schmerzliche Erfahrungen besänftigt, welche wie eine Kastration empfunden werden. 113</t>
  </si>
  <si>
    <t>Bei Mädchen wird die rituelle bzw. kulturell motivierte Genitalverstümmelung in unterschiedlichen Formen durchgeführt. Die Klassifikation der WHO unterscheidet 4 Formen:
Sunna: Exzision der Klitorisvorhaut mit der ganzen oder einem Teil der Klitoris 
Exzision: Klitoridektomie, die Klitoris wird vollständig entfernt, die kleinen Labien teilweise oder vollständig, die Vaginalöffnung wird nicht verschlossen 
Infibulation oder pharaonische bzw. sudanesische Genitalverstümmelung: Klitoris und Labia minora werden vollständig entfernt, die Labia majora teilweise durch Abtrennung der inneren Seiten der großen Labien, evtl. auch eines Teils des Venushügels. Die verbleibenden Hautanteile werden zusammengenäht, so dass beim Zusammenwachsen eine Brücke aus Narbengewebe über der vaginalen Öffnung bleibt, eine sehr kleine Öffnung (bis erbsgroß) für Menstruationsblut und Urin wird belassen 
Diverse nicht klassifizierbare Praktiken: z.B. Punktion, Piercing, Einschnitt und Einriss der Klitoris.</t>
  </si>
  <si>
    <t>Erregungsphase 
Auslösung erotischer Empfindungen durch unterschiedliche Reize (visuell, auditiv, taktil aber auch aufgrund von Fantasien). Besonders sensibel auf Berührung reagieren bestimmte Körperregionen, die sog. erogenen Zonen (Klitoris, kleine Schamlippen und Brustwarzen bei der Frau, Eichel beim Mann, aber auch Hautbezirke um den Mund und den After sowie an den Innenseiten der Oberschenkel oder an den Ohrläppchen).</t>
  </si>
  <si>
    <t>Die Klägerin544 wurde 1959 geboren. Bei ihrer Geburt wurde verkannt, dass bei ihr ein Adrenogenitales Syndrom (AGS) vorlag, was dazu führte, dass ihre Klitoris übermäßig groß war. Infolgedessen wurde sie für einen Jungen mit einem (Mikro-)Penis gehalten. Sie wurde als Junge beim Standesamt angemeldet und entsprechend erzogen.
[Fußnote:] 544 Im Jahr 2010 erschien ein Roman, in dem sie ihre Lebensgeschichte veröffentlichte, Völling, Ich war Mann und Frau.</t>
  </si>
  <si>
    <t>Die Differenzierung der Geschlechtsorgane beginnt ungefähr in der 8.-9. Fetalwoche. In der 13. Woche ist der Geschlechtsunterschied deutlich sichtbar, ab der 16. Woche voll ausgebildet:
• Beim männlichen Fetus vergrößert sich unter dem Einfluss von Testosteron der Genitalhöcker zum Phallus und bildet den späteren Penis. Der Sinus urogenitalis schließt sich durch Verschmelzung der Genitalfalten vollständig und bildet die Pars spongiosa der Urethra. Die Genitalwülste (Skrotalwülste) vereinigen sich zum Scrotum.
• Beim weiblichen Fetus (Fehlen von Testosteron) bilden sich aus dem Genitalhöcker das Corpus clitoridis sowie die Crura clitoridis. Der Sinus urogenitalis bleibt als Vestibulum vaginae offen und die beiden Genitalfalten bilden die kleinen Vulvalippen (Labia minora). Die Genitalwülste vergrößern sich und bilden die großen Vulvalippen (Labia majora), die Bulbi vestibuli sowie das sog. RSP (infra-corporeal Residual Spongy Part).</t>
  </si>
  <si>
    <t>[Kontext: Arterielle Versorgung der äußeren weiblichen Geschlechtsorgane]
Wie bei Penis und Scrotum wird die arterielle Versorgung von der A. pudenda interna übernommen. Sie tritt aus der Fossa ischioanalis (hier nicht zu sehen) und zieht nach Abgabe der A. rectalis inferior zum Anus, an den Hinterrand des Diaphragma urogenitale. Mit einem weiteren Zweig, der A. perinealis, versorgt sie Dammregion und Schwellkörpermuskeln sowie den hinteren Teil der groBen Vulvalippen (Rr.labiales posteriores). Im oberflächlichen Dammraum (Spatium superficiale perinei, hier nicht zu sehen, s. S. 191) verzweigt sich die A. pudenda interna in ihre Endäste, die A. bulbi vestibuli (zum Bulbus vestibuli) und die Aa. profunda u. dorsalis clitoridis (zum Corpus cavernosum clitoridis). Der vordere Teil der großen Vulvalippen wird über die Aa. pudendae externae (Rr. labiales anteriores) aus der A. femoralis versorgt (hier nicht zu sehen).</t>
  </si>
  <si>
    <t>[Kontext: Anatomisch-funktionelle Rekonstruktion des äußeren weiblichen Genitale nach Typ-III Beschneidung]
Spezielle rekonstruktive und mikrochirurgische Operationsverfahren ermöglichen eine weitgehende anatomische Wiederherstellung des äußeren Genitale (O'Dey 2018, 2019, 2020). Die Therapien reichen von einer vergleichsweise einfachen anatomischen Wiedereröffnung des Introitus vaginae (Defibulation) bis hin zu komplexen plastischen Operationen (z. B. Rekonstruktion der Vulvalippen, s. a u.b, Wiederherstellung einer Neoglans/Preputium clitoridis, s. c-g, rechte Seite). Während die Defibulation dazu dient, den Geschlechtsverkehr, den Harnfluss, die physiologische Entbindung sowie die Menstruation wieder zu ermöglichen, soll die Klitorisrekonstruktion v. a. chronische Schmerzen lindern und die sexuelle Empfindung verbessern.</t>
  </si>
  <si>
    <t>Kitzler
Das ist ein anderes Wort für ➡ Klitoris.</t>
  </si>
  <si>
    <t>[Kontext: Pathologische Physiologie des adreno-genitalen Syndroms] 
So konnte HODLER nach der Injektion von Rindenextrakten bei jungen Meerschweinchen Wachstum der Klitoris und maskulinisierende Wirkung nachweisen.</t>
  </si>
  <si>
    <t>[Kontext: Das adreno-genitale Syndrom bei geschlechtsreifen Frauen] 
In der Regel ist die Klitoris verändert und vergrößert, wenn das Ausmaß dieser Veränderung auch verschieden ist. Es kann sich um die penisartig vergrößerte Klitoris ein Präputium bilden, das nach caudal, ähnlich wie bei einer Hypospadie, gespalten ist.</t>
  </si>
  <si>
    <t>Die viriloïde Intersexualität der Frau im Klimakterium. Sie tritt so häufig auf, daß sie als physiologisch betrachtet werden kann, solange sie diskret bleibt. Das verbreitetste Anzeichen dafür ist das Sprießen von Haaren im Gesicht und am Körper; die Stimme wird tiefer. Zudem prädisponiert das Klimakterium zu Neurosen und vorübergehenden Psychosen. Oft tritt eine Steigerung der sexuellen Libido ein, die sich in normalen Grenzen hält, aber auch zur Erotomanie werden kann. «Helene Deutsch behauptet, mehrfach nach dem Klimakterium eine Rückbildung der sexuellen Erregbarkeit von der Scheide bis zum Kitzler beobachtet zu haben 2.»
[Fußnote:] 2 Marie Bonaparte: «La sexualité de la femme ». Presses universitaires de France. S. 15.</t>
  </si>
  <si>
    <t>Reizung: Agar., Am-c., Bry., Calc., Canth., Carb-v., Con., Dulc., Graph., Hep., Kali-br., Kreos., Lyc., Merc., Nat-m., Nit-ac., Nux-v., Orig., Phos., Plat., Puls., Sep., Sil., Sulf.
[Listenelement] Clitoris: Am-c. [Ammonium carbonicum]</t>
  </si>
  <si>
    <t>STECHENDER, fein st. Schmerz14; Apis, Ars., Berb., Calc-p., Carb-v., Eupi., Kali-c., Kreos., Lil-t., Lyc., Phos., Puls., Sabin., Sep., Staph., Urt-u., Zinc.
[...]
[Listenelement] Vulva, Clitoris: Bor. [Borax veneta]
[Tab] nachts: Bor. [Borax veneta]
[Fußnote] 14 engl. stinging</t>
  </si>
  <si>
    <t>STECHENDER, scharf st. Schmerz15; Alum., Ars., Aur., Bell., Bor., Calc., Calc-p., Caust., Coc-c., Con., Croc., Glon., Graph., Ign., Kali-c., Lac-c., Meli., Merc., Murx., Nat-s., Nit-ac., Pall., Phos., Rhus-t., Sep., Staph., Sulf-ac., Tarant., Thuj.
[Fußnote] 15 engl. stitching
[...]
[Listenelement] Vulva, zwischen den Labien: Eupi. 
[Tab] Clitoris, nachts: Bor. [Borax veneta]</t>
  </si>
  <si>
    <t>[Verlaufsform (der weiblichen Liebes-Unfähigkeit (Impotenz)):]
2 Frigidität
Gefühlskälte
[Definition:]
21 Es besteht Geschlechts-Trieb
22 Jedoch kann der Lustrausch nicht erlebt werden (Clitoris und andere sexuelle Sinnes-Organe nicht ausreichend erregbar [Clitoridale Impotenz])</t>
  </si>
  <si>
    <t>[Verlaufsform (der weiblichen Liebes-Unfähigkeit (Impotenz)):]
3 Dyspareunie
[Definition:]
31 Es besteht Geschlechts-Trieb
32 Orgasmus-Fähigkeit bei starker Reizung der Clitoris vorhanden
33 Reizung der Scheide bringt kein Lusterlebnis (Vaginale Impotenz)</t>
  </si>
  <si>
    <t>[Kontext:]
10. Bauchlage
Bei dieser Stellung handelt es sich um die erste Positio aversa, die wir besprechen, also um die erste Lage, bei der der Vorderseite des Mannes die Rückseite der Frau zugekehrt ist. Die Frau liegt bei dieser Stellung auf dem Bauch, dabei ist unter ihr Becken ein Stützkissen geschoben. Das Becken ist weit emporgereckt, wobei sie sich leicht auf den Knien aufstützen kann. Ihre Beine sind geschlossen, der Gatte liegt auf ihrem Rücken und stützt sich mit Knien und Händen. Seine geöffneten Schenkel umfangen die geschlossenen Schenkel der Frau.
[...]
Die Möglichkeit des Austausches von Zärtlichkeiten ist gegeben. ebenso wie für den Mann bei fast allen Lagen, bei denen ihm die Gattin ihren Rücken zukehrt, die Möglichkeit besteht, während der Coitusbewegungen die Clitoris durch manuelle Manipulationen zu reizen und damit beizutragen, daß seine Frau den Orgasmus mit ihm gleichzeitig erlebt.</t>
  </si>
  <si>
    <t>[Kontext: Die XO-Gonadendysgenesie (Turner-Syndrom)]
Auch die Vulva und Clitoris sind meist hypoplastisch. Einzelne Fälle mit Gonadendysgenesie haben aber auch eine Klitorishypertrophie (MEYER 1925; BAER 1927; PICH 1936; GUINET u. Mitarb. 1954; GRUMBACH u. Mitarb. 1955; GORDAN u. Mitarb. 1955; STANGE u. Mitarb. 1957). Man vermutet, daß nicht die Gonaden, sondern die Nebennieren diese Hypertrophie auslösen (HAUSER 1960). Zumindest sind die 17-Ketosteroide bei diesen Patientinnen normal und nicht wie sonst bei der Gonadendysgenesie erniedrigt.</t>
  </si>
  <si>
    <t>[Kontext: Sexuelle Erregung]
In der Frau sondern Drüsen, welche sich in der Urethra und den Labia Majora (großen Schamlippen) befinden, eine Flüssigkeit ab, die zur Gleitfähigkeit beiträgt und den Eingang des Penis in die Vagina erleichtert. Die Öffnung der Vagina und die Vagina selbst vergrößern sich, um den Penis aufzunehmen. Die Clitoris, der Hauptsitz der sexuellen Gefühle in der Frau, schwillt an und vergrößert sich, dadurch größeren Kontakt und stärkere Stimulation ermöglichend.</t>
  </si>
  <si>
    <t>[Kontext: Ablauf des Geschlechtsverkehrs]
d) Weitere physische Veränderungen, bis zur Bereitschaft beider Partner, das Eindringen des Penis in die Vagina zu ermöglichen. 
e) Eindringen und reibende Stimulation durch beiderseitige Bewegung der Eichel und der Clitoris. Kontakt des Penis mit Nerven am Gebärmuttermund, welcher unterschiedliche zusätzliche Stimulation bei der Frau hervorruft. Unterstützende Stimulation anderer Sensitivbereiche (unter diesen Umständen wird die gesamte Oberfläche des Körpers in unterschiedlichem Umfang, sensitiv). 
f) Zu guter letzt, wenn ausreichende Intensität der Stimulation erreicht ist, löst die gleichlaufende und begleitende Aktivität des zentralen Nervensystems, welche von den Nervenzentren ausgeht, einen Orgasmus in einem oder beiden Partnern aus, wobei der des Mannes gewöhnlich von einer Ejakulation begleitet wird. [12]</t>
  </si>
  <si>
    <t>[Kontext: Pruritits vulvae]
Eine sorgfältige Inspektion von Perineum, Anus, Labien, Klitoris und Introitus ist unumgänglich.</t>
  </si>
  <si>
    <t>[Kontext: "Die Normallage" ("Missionar")]
Zu empfehlen ist, daß sich der Mann gegen das Kopfende des Bettes zu schiebt, weil dann sein Penisschaft den Kitzler der Frau mehr und mehr reiz</t>
  </si>
  <si>
    <t>Virilisierungen (mit Klitorishypertrophie, Sinus urogenitalis, Verschmelzung der kleinen Labien)
C Frühzeitige operative Klitorisrückverlagerung und evtl. Verkleinerung (nicht Amputation oder Exzision) zur Erhaltung der Orgasmusfähigkeit, Freilegung des Introitus vaginae und evtl. Neueinpflanzung der Vagina am Damm, nach dem Ende des 1. Lebensjahres.
S Präoperativ ausreichende Kortikoidsubstitution mit perioperativer Dosiserhöhung und klinischer Überwachung bei adrenogenitalem Syndrom.</t>
  </si>
  <si>
    <t>[Kontext: Das adrenogenitale Syndrom]
Der weibliche Pseudohermaphroditismus ist gekennzeichnet durch einen männlichen Habitus, Hirsutismus und, besonders bei späterer Manifestation, durch Adipositas und cushingoides Aussehen. Bei rudimentärer Ausprägung von Ovarien, Tuben, Uterus und Vagina sieht man eine penisähnliche, stark vergrößerte Clitoris.</t>
  </si>
  <si>
    <t>[Kontext: "Adreno-genitales Salzverlust-Syndrom (Debré-Fibinger-Syndrom, Pseudopylorospasmus)"]
Gelegentlich kann eine Klitorisamputation indiziert sein.</t>
  </si>
  <si>
    <t>[Kontext: Primärsyphilis]
Bei der Frau bleibt der Primäraffekt in der Vagina oder an der Portio oft unbemerkt, im übrigen findet er sich an den kleinen und großen Labien, an Klitoris, hinterer Kommissur oder am Ostium urethrae.</t>
  </si>
  <si>
    <t>[Kontext: Missonarstellung]
Wenn man damit beginnt, kann man die Stellung vertiefen – indem man die Beine der Partnerin hochlegt, zur Klitoris übergeht, indem man ein Bein zwischen ihre Beine legt, sich zur Seite oder ganz herum wälzt, um mit ihr in der oberen Stellung zu enden -, auf die Knie gehen und sich zum Buchstaben X zurücklehnen, bei dem jeder Partner zwischen den Beinen des anderen liegt (siehe unter &gt;&gt;X-Stellung&lt;&lt;), zu Rücken-, Seiten- oder Steh-Stellung übergehen, und dann für das Ende wieder zurückkommen.</t>
  </si>
  <si>
    <t>[Kontext: Missionarstellung, der Text ist an 'den Mann' gerichtet]
Wenn Ihr Schambein nicht sehr hart ist und sie ein wenig mehr Klitorisdruck braucht, versuchen Sie eine Stellung mit einem Bein dazwischen, oder verwenden Sie zusätzlich Ihre Finger. Sie kann ihrerseits Ihre Vorhaut halten oder die Schafthaut des Penis mit der Hand zurückziehen (siehe unter &gt;&gt;Florentinisch&lt;&lt;).</t>
  </si>
  <si>
    <t>[Kontext: "Reiten auf dem hl. Georg" (Reiten)]
Sie kann sich für Brust- oder Mundküsse vorneigen, zurück, um ihm ihren Anblick zu bieten, ihre eigene Klitoris bei der Bewegung streicheln, es hinauszögern, wenn sie will, um noch stärker zu empfinden - einfach alles.</t>
  </si>
  <si>
    <t>[Kontext: "Langsame Masturbation" -&gt; Partner*in fesseln und dann langsames Tease&amp;Denial, hier: Mann bei gefesselter Frau]
Der Mann hat drei Stellen, auf die er sich zu konzentrieren hat Mund, Brüste und Klitoris. Zwei ziemlich straffe Windungen um die Brüste sind nützlich (Vorsicht!). Er kann ebenso beginnen wie sie, mit dem coup de cassolette (Achselhöhle und Eichel), und dann seine Hand über ihre cassolette reiben und auf ihren Mund legen, um ihr das eigene Parfüm zurückzugeben. Er muß ihre Töne und Bewegungen beobachten, um zu erkunden, eine wie kräftige Behandlung der Klitoris sie aushält.</t>
  </si>
  <si>
    <t>[Kontext: "Frigidität"]
Wenn man einmal ein Stimulans gefunden hat – ob allein oder mit einem Liebhaber -, das Gefühle vermittelt, soll man es bei der Liebesbetätigung voll und ganz anwenden. Wenn man einen Finger an der Klitoris oder einen Genitalkuẞ braucht, soll einen nichts daran hindern die Propaganda hinsichtlich des »vaginalen Orgasmus&lt;&lt; ist tatsächlich Propaganda, und das Werturteil, man sei keine Frau, wenn man nicht allein durch tiefes Eindringen des Penis voll befriedigt werde, ist absolut nicht zutreffend; manche Frauen werden dadurch befriedigt, andere nicht.</t>
  </si>
  <si>
    <t>Wir wollen hier einige Fakten über den weiblichen Orgasmus erwähnen: - Es handelt sich gleichermaßen um ein körperliches wie seelisches Erlebnis
- Die Reizung der Klitoris ist sehr bedeutsam
- Sex wird nicht zu jeder Zeit als erfreulich empfunden
- Frauen brauchen länger, bis sie zum Orgasmus kommen, als Männer 
- Frauen können zahlreiche Orgasmen hintereinander erleben; sie benötigen keine Erholungspause wie die Männer</t>
  </si>
  <si>
    <t>[Kontext: "Das sexuelle Repertoire", "Was Männer tun können"]
• Sie stimulieren Klitoris und Scheide und bringen Ihre Partnerin zum Orgasmus. • Sie stimulieren Klitoris und Scheide mit dem Mund und bringen Ihre Partnerin zum Orgasmus.</t>
  </si>
  <si>
    <t>[Kontext: "Die Seitenlage 1", U.a. Löffelchenstellung]
MANN Diese Stellung erlaubt tiefes Eindringen und optimalen Körperkontakt. Er kann Bauch, Brüste, Vulva, Klitoris, Hals und Rücken der Partnerin gut erreichen.</t>
  </si>
  <si>
    <t>[Kontext: Erklärungsansätze zur Existenz und Relevanz der Klitoris]
1. Die Klitoris ist ein rudimentärer Penis. Ein Mädchen hat deswegen eine, weil der Körper inhärent zweigeschlechtlich ist, als Embryo darauf angelegt, entweder männliche oder weibliche Geschlechtsorgane zu entwickeln. Wenn sie zu einem Jungen hätte werden sollen, hätte sie einen funktionsfähigen, ejakulierenden, innervierten Penis gebraucht. So aber bekam sie ein Penisrudiment, einen kleinen Knubbel von sensorischem Gewebe mit der gleichen neuronalen Grundausstattung, die sich auch in einem richtigen Phallus findet. Demnach ist die Klitoris wie die männliche Brustwarze ein Atavismus: die kaum noch erkennbare Andeutung dessen, was hätte sein können, aber eigentlich nicht mehr zu sein braucht. Nach dieser Erklärung stellen Klitoris und weiblicher Orgasmus keine Anpassungsleistung dar. Der ejakulationsfähige Penis alias DNS-Ausgabegerät ist die Anpassungsleistung, der Zweck der Übung. Die Klitoris ist lediglich der Trostpreis.</t>
  </si>
  <si>
    <t>[Kontext: FGM/C]
Die Prozedur wird in unterschiedlichen Abstufungen der Gründlichkeit durchgeführt. Die »harmloseste«&lt; Form ist die Klitoridektomie, also die partielle oder vollständige Entfernung der Klitoris. Bei der mittelschweren Verstümmelung werden zusammen mit der Klitoris auch die kleinen Schamlippen herausgeschnitten. Die Infibulation schließlich ist die grauenvollste Methode: Hier werden Klitoris und kleine Schamlippen abgehackt und dann die Ränder der großen Schamlippen abgehäutet, damit sie sich über Harnröhrenausgang und Scheide wie eine klaffende Wunde zusammennähen lassen und nur ein kleines Loch für den Austritt von Urin und Menstruationsblut offen bleibt. Wenn das infibulierte Mädchen irgendwann heiratet und dem Penis des Ehemannes Einlass gewähren muss, werden die Fäden gezogen, und die vernarbte Haut der großen Schamlippen wird ein Stück weit wieder aufgerissen.</t>
  </si>
  <si>
    <t>[Kontext: Freuds Auffassungen]
&gt;&gt;Ich zweifle selbst daran, daß das weibliche Kind unter dem Einflusse der Verführung zu etwas anderem als zur Klitorismasturbation gelangen kann, es sei denn ganz ausnahmsweise.&lt;&lt;5
Drei Abhandlungen zur Sexualtheorie, a.a.O., S. 121 
Anschließend spricht Freud über die Pubertät, die beim Jungen einen »großen Vorstoß der Libido« bringt und beim Mädchen eine »neuerliche Verdrängungswelle&lt;&lt;, die die Klitorissexualität betrifft. 
&gt;&gt;Es ist ein Stück männlichen Sexuallebens, was dabei der Verdrängung verfällt. Die bei dieser Pubertätsverdrängung des Weibes geschaffene Verstärkung der Sexualhemmnisse ergibt dann einen Reiz für die Libido des Mannes und nötigt dieselbe zur Steigerung ihrer Leistungen: mit der Höhe der Libido. steigt dann auch die Sexualüberschätzung, die nur für das sich weigernde, seine Sexualität verleugnende Weib im vollen Maße zu haben ist.&lt;&lt;6
 Drei Abhandlungen zur Sexualtheorie, a.a.O., S. 122</t>
  </si>
  <si>
    <t>[Kontext: Freuds Auffassungen -&gt; Die präödipale Vorzeit]
Hinzu kommt die Entdeckung der eigenen phallischen Masturbation an der Klitoris, die mit oder ohne verführerische Beteiligung von Kinderfrauen oder der Mutter geschieht; diese wollen die Mädchen entweder von sich abhängig machen oder durch eine zu strenge Überwachung ein Verbot der Masturbation durchsetzen.
[...]
Über die weibliche Sexualität, GW XIV, S.520-532</t>
  </si>
  <si>
    <t>[Kontext: Zweite Kindheitsphase, Penisneid]
Der Mangel verbindet Mädchen und Jungen auf der Suche nach diesem vielleicht versteckten, vielleicht auch abgetrennten phallischen Teil. Das Mädchen zupft an seinen Schamlippen und an dem &gt;&gt;Knopf«&lt;, der Klitoris. Durch die Reizung der Klitoris entdeckt das Mädchen das lustbetonte Anschwellen der Klitoris, so daß es eine Zeitlang hofft, daß hier ein zentrifugaler Penis im Wachsen ist.</t>
  </si>
  <si>
    <t>[Kontext: Zweite Kindheitsphase]
Zahlreiche Beobachtungen bestätigen, daß ein Mädchen, welches weiß, daß es den Namen des Vaters trägt und daß der Name an seinen eigenen Vornamen angehängt ist, sehr schnell seine sexuelle Beschaffenheitakzeptiert, wenn es die Sicherheit besitzt, daß es vom Vater so gewünschtwurde, wie es ist: als ein Mädchen ohne Penis, so wie die Mutter. Das Mädchen nimmt die Form seiner Vulva, ein »Knopf mit einem Loch«, wie ein väterliches Geschenk und eine mütterliche Anerkennung an.</t>
  </si>
  <si>
    <t>[Kontext: Die Auflösung der ödipalen Situation]
Ein gewisser Teil der passiven oralen, analen und phallischen Triebe, die sich olfaktorisch, visuell, auditiv, taktil und rhythmisch äußern, besetzt narzißtisch die sexuelle vulvo-vaginale Körperregion, die Klitoris und die Brüste.</t>
  </si>
  <si>
    <t>[Kontext:] Die pathologische, postpubertäre Verdrängung, die aus einem nicht adäquat durchlebten Ödipuskomplex berrührt
[...]
Klinisch kann man folgende Verdrängungen unterscheiden: 
1. Die Verdrängung der körperlich passiven und aktiven Besetzungen und der erotisch-genitalen, klitoral-vulvo-analen Besetzungen. [...]
2. Die Verdrängung der ausschließlich passiv-erotischen Triebe, die an die Besetzung der Vagina gebunden sind, aus Angst vor Vergewaltigung. [...]
3. Die Verdrängung der aktiven klitoral-analen Triebe und die aktive Überbesetzung der früher besetzten, aber von Schuldgefühlen unbelasteten Körperzonen mit der Muskelkraft und Beweglichkeit der Gliedmaßen und allgemeinen körperlichen, manuellen und intellektuellen Gewandtheit führen dann zu einem Männlichkeitskomplex, wenn solche Fertigkeiten auf die Spitze getrieben werden und andere weibliche Aktivitäten ausschließen.</t>
  </si>
  <si>
    <t>[Kontext:] Klinische Resultate der unbewältigten ödipalen Situation; Vereinbarkeit von Homosexualität und Heterosexualität bei der Frau [...]
(D) Die polyandrische, leidenschaftliche, unstabile Heterosexualität, die – mit oder ohne Verdrängung der Heterosexualität – genital vollzogen wird. [...]
Die Frau ist nicht frigide und hat starke Orgasmen der Klitoris und Vulva, wie sie typisch sind für nymphomanische Frauen oder solche, die Männer »anmachen«.</t>
  </si>
  <si>
    <t>[Kontext: Edwards-Syndrom (Trisomie 18)]
Genitalien. M: Kryptorchismus; w: (Hypoplasie der Labia major, prominente Klitoris).</t>
  </si>
  <si>
    <t>[Kontext: Isolierte Androgensynthesedefekte]
Klinische Symptome und Verlauf. Fast alle beschriebenen Patienten haben zum Zeitpunkt der Geburt ein weibliches äußeres Genitale. Ein Uterus ist nicht vorhanden, die Vagina endet blind. Mit Eintritt in die Pubertät wird eine unterschiedlich ausgeprägte Virilisierung mit Stimmbruch und Klitorishypertrophie beobachtet. Eine Brustdrüsenentwicklung bleibt meist aus.</t>
  </si>
  <si>
    <t>[Kontext: Genitalherpes]
Am häufigsten betroffen sind große und kleine Schamlippen, Klitoris, Damm und die Gegend um den After.</t>
  </si>
  <si>
    <t>[Kontext: Dysästhetische Vulvodynie]
Die hauptsächlichen Symptome sind Schmerzen im Versorgungsgebiet des Pudendusnervs, also im Bereich von Enddarm, After, Harnröhre und Damm sowie bei Frauen im Bereich von Scheide und Vulva (äußerlich sichtbarer Genitalbereich, der den Scheideneingang, kleine und große Schamlippen und den Schamhügel umfasst) einschließlich Kitzler (Klitoris), bei Männern im Bereich von Penis und Hodensack. Es kann auch nur einer dieser Bereiche betroffen sein, so zum Beispiel ausschließlich Schmerzen im Bereich der Klitoris.</t>
  </si>
  <si>
    <t>[Kontext: Gesetzgebung zu FGM/C]
Auch im Verhältnis zu anderen Rechtsgütern ist die exzessive Strafdrohung kaum zu verstehen: Wer zB gegen den Willen einer Frau deren Kind im sechsten Monat durch Fußtritte abtreibt, hat eine Strafe von sechsMonaten bis zu fünf Jahrenzu befürchten (§ 218 II),also ein Drittel dessen, was ihm im Fall einer,,Verstümmelung" der Klitorisvorhaut derselben Frau droht.</t>
  </si>
  <si>
    <t>[Kontext: AGS]
Die Bandbreite erstreckt sich von einer leichten Klitorishypertrophie bis zu einer kompletten Fusion der Labioskrotalfalten mit Ausbildung einer penisartigen Klitoris, auf deren Glans die Urethra mündet.114</t>
  </si>
  <si>
    <t>[Kontext: Klitorisreduktionsplastik bei intersexuellen Kindern]
Über den optimalen Zeitpunkt der Operation herrscht Uneinigkeit.180 Einige Ärzte empfehlen die Anpassung des Geschlechts bis zum Abschluss des ersten, spätestens des zweiten Lebensjahres.181 Kinderchirurgen im Kinderkrankenhaus Auf der Bult (Lehrkrankenhaus der Medizinischen Hochschule Hannover) empfehlen Klitorisreduktionen, wenn das Kind endokrinologisch stabil ist, d. h. mit fünf bis sechs Monaten. 182 Für die frühe Operation wird vorgebracht, dass das normale Aussehen beruhige und die Identifikation mit der eigenen Geschlechtsrolle fördere. Andere Mediziner lehnen eine Klitorisreduktion in der frühen Kindheit ab, da sich diese bei leichteren Erscheinungsformen „herauswachse".183</t>
  </si>
  <si>
    <t>[Kontext: Gesetzgebung zur "Verstümmelung weiblicher Genitalien"]
Hinsichtlich der Tathandlungen des Verstümmelns verweist der Gesetzgeber auf die von der WHO klassifizierten Formen der Beschneidung von Frauen und Mädchen.317 Als Tathandlung umfasst sein sollen danach die Entfernung der Klitorisvorhaut (Klitoridektomie), die teilweise oder vollständige Entfernung der Klitoriseichel und der inneren Schamlippen (Exzision) sowie die Verengung der Vaginalöffnung durch das Zusammenfügen der inneren und/oder der äußeren Schamlippen (Infibulation).318</t>
  </si>
  <si>
    <t>Die Ungleichbehandlung [von der Beschneidung männlicher und weiblicher Genitalien] führt als Rechtsfolge aber nicht zur Verfassungswidrigkeit der ganzen Vorschrift des § 226a StGB. Vielmehr besteht die Möglichkeit, eine Vereinbarkeit mit der Verfassung über eine verfassungskonforme Auslegung des Tatbestandsmerkmals des Verstümmelns zu erzielen. Aus dem Tatbestand auszuschließen sind demnach Handlungen, die in ihrer Intensität und ihren gesundheitlichen Risiken einer Beschneidung des männlichen Kleinkindes vergleichbar sind.352 Dies wird in erster Linie bei der bloßen Entfernung der Klitorisvorhaut der Fall sein. Neben einer verfassungskonformen Auslegung von § 226a StGB erscheint darüber hinaus für diese Konstellationen eine analoge Anwendung der weiteren Voraussetzungen von § 1631d BGB geboten.353
[Fußnote:] 352 Lackner/Kühl/Heger, StGB, 29. Aufl. 2018, § 226a Rn. 3; Hörnle, in: Verhandlungen des 70. Deutschen Juristentages, Band I Gutachten, Teil C, 2014, S. 55 f.; Sotiriadis, ZIS 2014, 320 (326); vgl. auch Wolters, in: Systematischer Kommentar, StGB, 9. Aufl. 2017, § 226a Rn. 8, 13, der das Tatbestandsmerkmal des Verstümmelns dahingehend restriktiv auslegen will, dass allein Tathandlungen erfasst werden, die zur Zerstörung oder dauerhaften Beeinträchtigung der sexuellen Empfindsamkeit führen; ähnlich Böse, in: Kindhäuser/Neumann/Paeffgen, StGB, 5. Aufl. 2017, § 226a Rn. 11 ff.; die Möglichkeit einer verfassungskonformen Auslegung ablehnend hingegen Hardtung, in: Münchener Kommentar, StGB, 3. Aufl. 2017, § 226a Rn. 31, der allerdings im Ergebnis im Rahmen einer systematischen Auslegung ebenfalls die Beschneidung der Klitorisvorhaut aus dem Tatbestand ausklammert (a. a. O. Rn. 61).</t>
  </si>
  <si>
    <t>[Kontext: Pseudohermaphroditismus femininus]
Beispiel: angeborenes adrenogenitales Syndrom (1:5000 Lebendgeburten):
- 46,XX-Chromosomensatz;
- innere Genitalorgane weiblich, Maskulinisierung der äußeren Genitalien (Vergrößerung der Clitoris, partielle Fusion der großen Vulvalippen (früher Schamlippen), kleiner Sinus urogenitalis, s.D);</t>
  </si>
  <si>
    <t>Der äußere, weibliche Genitalapparat umfaßt zunächst  zwei große Hautfalten oder Schamlippen, die Labia majora  und zwei kleine, haarlose Hautfalten, die Labia minora, die  sich vorn zur Clitoris mit dem Praeputium clitoridis vereinigen und seitlich das Vestibulum vaginae begrenzen.</t>
  </si>
  <si>
    <t>Am hinteren Innenrand der Labia minora mündet  der Ductus excretorius der Glandula vestibularis major Bartholini in das Vestibulum vaginae; an der Basis der Labia minora ein cavernöses Schwellkörpergewebe: Bulbus  vestibuli.</t>
  </si>
  <si>
    <t>[Kontext: Das adreno-genitale Syndrom bei Kindern] 
Besonders deutlich sind die Veränderungen des äußeren Genitale: Die Labien bleiben klein, die Klitoris hingegen wächst enorm und nimmt besonders dann, wenn es zur Bildung eines Präputium kommt, den Charakter eines Penis an.</t>
  </si>
  <si>
    <t>[Kontext: Dystrophia adiposo-genitalis] 
Beim Mädchen zeigt das Genitale den infantilen Habitus, Labien und Clitoris entwickeln sich nicht.</t>
  </si>
  <si>
    <t>Die  körperlichen Reaktionen der Frau im Augenblick des Geschlechtsaktes weisen hingegen mehr Ähnlichkeit mit denen des  Mannes auf, als es zunächst scheint. Zu einer "Abschwellung" nach jenem dem Mann eigentümlichen Impuls, der ihn dazu  antreibt, den ausgelösten Reflex durch die Ejakulation zu beenden, kommt es zwar nicht, doch im übrigen sind auffallende  Ähnlichkeiten vorhanden: Erektion der Klitoris, die wie das  Glied anschwillt, der Hauptsitz der sexuellen Lustempfindungen; Absonderung eines schlüpfrigmachenden Schleims durch  die Bartholinischen Drüsen; schließlich der Orgasmus, der, wenn  er auftritt, nicht weniger intensiv ist als beim Mann.</t>
  </si>
  <si>
    <t>DIE KLITORIS REAGIERT  
Wie schnell die Klitoris reagiert, hängt  davon ab, ob sie direkt oder indirekt  stimuliert wird. Am wirksamsten ist eine  unmittelbare Stimulation des Klitorisschafts oder des Venushügels. Eine indirekte Stimulation, zum Beispiel die  Berührung anderer erogener Zonen wie der Brüste oder der Scheide, löst eine  deutliche, aber langsamere Reaktion aus.  Die Berührung- mit den Fingern, dem Mund oder dem Penis - ist die einzige direkte Stimulation und die meisten Frauen kommen nur durch Berührung und Penetration zum Orgasmus. Beim Sex  wird die Klitoris zwar nicht unmittelbar  stimuliert, sodass die Bewegung des Penis  oft nicht genügt, um einen Orgasmus  auszulösen; aber ihre indirekte Stimulation führt dazu, dass der Schaft nach unten  gedrückt und die Eichel entblößt wird.</t>
  </si>
  <si>
    <t>STIMULIEREN SIE IHRE PARTNERIN 
Die Klitoris ist zart und empfindlich. Indirekter Druck ist meist angenehmer als  direkter Druck.</t>
  </si>
  <si>
    <t>Die innige Beziehung, die zwischen der seelisch-geistigen Verfassung einer Frau und ihrer klitoralen Leistungsfähigkeit erkennbar wird, bedeutet, dass die Klitoris ans Gehirn - das »richtige«,  große Gehirn angeschlossen werden muss, ehe sie losjubeln  kann. Das Gehirn muss genauso lernen, sein Steckenpferdchen zu  reiten, wie es lernen muss, seinen Körper auf einem Fahrrad im  Gleichgewicht zu halten. Manche Frauen finden schon in der  Kindheit heraus, wie sie zum Höhepunkt gelangen, während andere den Zusammenhang erst als Erwachsene herstellen lernen.  Das ist allerdings keine physikalisch-technische Aufgabenstellung. Du kannst sie nicht allein mit deinem Neokortex lösen, dieser dick gefältelten Hirnoberschicht aus fischgrauem Gewebe, die  fortwährend grübelt und zögert und jeden Impuls hinterfragt. Du  musst dich mit einer älteren, archaischeren Schaltstelle in Verbindung setzen, dem Hypothalamus - dem an der Unterseite deines  Großhirns, ein paar Zentimeter hinter deinen Augäpfeln gelegenen Teil des Zwischenhirns, der über den Appetit regiert, den  Appetit auf Nahrung, Salz, Macht, Sex. Bisweilen erfordert der  Anschluss der Klitoris an den Hypothalamus eine Umleitung: eine  Umgehung des Neokortex. Der Neokortex ist intelligent und  herrschsüchtig, und dies kann so weit gehen, dass er seiner EigenIII tümerin das Recht abspricht, die letztendliche Kontrolle zu behalten. Die Kontrolle, von der ich spreche, betrifft eine ganzheitliche,  das gesamte Gehirn begreifende Operation, eine heikle Verhandlung zwischen »Neo-« und »Ur-«, zwischen Intellekt und Verlangen. Wenn eine Frau also unter einem zu stimmgewaltigen Neokortex leidet, muss sie ihm auf die eine oder andere Weise den  Mund so lange stopfen, dass Hypothalamus und Klitoris Zeit  haben, ihre neue Partnerschaft zu besiegeln. Alkohol könnte den  Job erledigen, wenn er nicht eine so stark sedierende und abstumpfende Wirkung auf das gesamte Nervensystem hätte. Effektiver sind da Drogen, die den Intellekt ablenken, ohne die Relaisstationen unseres Bioelektrizitätswerks in ihrer Leistung zu  beeinträchtigen. Die meisten dieser Drogen unterliegen leider dem  Betäubungsmittelgesetz. Methaqualon (Quaalude) soll ein unglaubliches Aphrodisiakum gewesen sein, aber Quaalude-Tabletten sind nicht mehr erhältlich. Sie waren einfach zu gut, das heißt zu gefährlich, und so mussten sie aus dem Handel genommen werden. Aber das Marihuana haben Die-da-oben uns noch nicht  genommen, und Marihuana kann ein wahrer Sexual-Guru und  begnadeter Elektroinstallateur in einem sein, der Frauen, die Jahre und Jahre in eiskalter Dunkelheit zugebracht hatten, die Lichter des Broadway bringt.</t>
  </si>
  <si>
    <t>In diesem Kapitel habe ich die Begriffe »Klitoris«, »weiblicher  Orgasmus« und »weibliche Sexualität« fast synonymisch verwendet, und so wie ich die Sache sehe, sind die drei Dinge zumindest  nicht voneinander zu trennen. Die Klitoris ist das Herz der weiblichen Sexualität, und wir müssen jeden – freudianischen oder  sonstigen - Versuch, ihre Bedeutung zu schmälern, aufs Entschiedenste zurückweisen. Doch die Klitoris transzendiert ihre eigenen anatomischen Grenzen. Andere Nervenbahnen münden in sie und  werden von ihr gespeist. Die fünfzehntausend Fasern des Nervus  pudendus, die den gesamten unteren Beckenraum versorgen, stehen in enger Wechselwirkung mit den Nervenbündeln der Klitoris. Dies erklärt, warum auch der After eine erogene Zone ist. Nerven sind wie Wölfe: Heult einer auf, fällt die gesamte Nachbarschaft in den Gesang ein.</t>
  </si>
  <si>
    <t>Und die Resultate der noch immer andauernden Umfrage zu den psychophysischen Folgen einer chirurgischen Korrektur von Klitorishypertrophie sind uneinheitlich. Als Beispiel die zwei folgenden Fälle: Cheryl Chase ist eine Computeranalytikerin von Anfang vierzig. Sie trägt das Haar kurz, dazu eine Nickelbrille, Ohrgehänge und einen leuchtend auberginefarbenen Lippenstift. Sie ist auf eine unaufdringliche Weise attraktiv und von einer messerscharfen Intelligenz. Und sie ist wütend. Wie sie sagt, wird sie wohl noch auf dem Sterbebett wütend sein. Cheryl hat zwei X-Chromosomen, die übliche weibliche Ausstattung, und heute könnte man sie auch für nichts anderes als eine Frau halten. Aber aus unbekannten Gründen kam sie mit hermaphroditischen Gonaden teils Eierstock, teils Hoden- und einer so großen Klitoris auf die Welt, dass die Ärzte ihren Eltern zunächst sagten: Es ist ein Junge. Ein knappes Jahr später erkannten Ärzte in einem anderen Krankenhaus: Moment mal, das Kind hat eine normale Scheide nebst Gebärmutter und Eileiter – es ist ein Mädchen. Sie erklärten ihren Eltern: Die anderen Ärzte haben sich geirrt. Sie haben eine Tochter, keinen Sohn. Sie werden ihr einen neuen Namen geben müssen, mit ihr in eine andere Stadt ziehen und wieder von vorn anfangen. Aber geben Sie uns zuerst noch rasch Ihre Einwilligung zu einer kleinen Korrektur ihres Genitales. Nicht lange gezögert. Stattgegeben. »Sie haben mir die Klitoris auf der Stelle entfernt«, sagt Cheryl mit der leisen Stimme einer Frau, die mit zusammengebissenen Zähnen spricht. »Sie haben an der Teilung der Crura geschnitten, dort, wo die Nerven in den Klitorisschaft münden. Mir ist ein kleiner Rest der Crura geblieben, aber keinerlei Innervierung. Folglich auch keinerlei Gefühl.« Cheryl ist Lesbierin. Sie hat ein aktives Sexualleben, doch einen Orgasmus hat sie noch nie erlebt. Sie hat alles versucht. Sie hat zahllose Ärzte angeschrieben und sie angefleht nachzusehen, ob sie in den Überresten ihrer Klitoris nicht irgendwelche Nervenfasern finden könnten, die sich reaktivieren, wieder zum Leben erwecken ließen.</t>
  </si>
  <si>
    <t>Auch Martha kam mit einer zu groß geratenen Klitoris auf die Welt eine Folge der hohen Dosen Progesteron, die ihre Mutter während der Schwangerschaft zur Verhütung einer Fehlgeburt eingenommen hatte. Als Säugling hatte Martha eine Klitoris von 1,5 Zentimeter Länge: das dreifache der »normalen« Größe. Nicht direkt ein Fall von Hypertrophie, aber ihre Eltern entschieden, dass sie nicht mit einem so auffälligen Knubbel eingeschult werden sollte, um möglichen Hänseleien vonseiten ihrer Klassenkameradinnen vorzubeugen. Und so wurde sie im Alter von sechs Jahren zurückgestutzt. »Die Ärzte haben die Klitoris an der Basis abgeschnitten«, sagt Martha. »Wenn Sie mich jetzt sehen würden, würden Sie sofort merken, dass da irgendetwas fehlt.« Doch auch wenn das Fleisch dahin ist, lebt der Geist doch weiter. »Ich habe emotionale Narben«, sagt Martha, »aber ich bin nicht verbittert. Der Grund dafür ist ganz einfach. Ich habe weiterhin klitorale Empfindungen. Ich kann zum Orgasmus kommen.«</t>
  </si>
  <si>
    <t>Man kann folgende Orgasmen unterscheiden: - den klitoralen Orgasmus, den vulvo-klitoralen Orgasmus, - den vaginalen Orgasmus und - den Orgasmus im gesamten Bereich des Uterus, der zu Unrecht mit den vorhergehenden Orgasmusarten, vor allem mit dem vulvo-vaginalen Orgasmus, verwechselt wird, da er von der Frau nicht bewußt wahrgenommen wird und sie deshalb nie von einem solchen Orgasmus spricht. Ich glaube, daß er sowohl aus objektiv deskriptiven Gründen als auch aus Gründen der libidinösen Entwicklung im Rahmen der psychoanalytischen Theorie von den anderen unterschieden werden mußte.</t>
  </si>
  <si>
    <t>[Kontext: Vermännlichung]
Die Symptome treten allmählich auf. Zu ihnen gehören:
• übermäßiges Wachstum der Haare im Gesicht und am Körper, • unregelmäßige oder ausbleibende Menstruationen (Regelblutung, S. 735), • Verringerung der Brustgröße oder selten ausbleibende Entwicklungder Bruste, • Vergrößerung des Kitzlers, • nicht rückgängig zu machende Vergrößerung des Kehlkopfs (Adamsapfel), was zu einer tieferen Stimme führt, • Ausdünnung der Haare um die Schläfen.</t>
  </si>
  <si>
    <t>Die Klitoris ist eine kleine Erhebung aus Gewebe von der Größe einer Erbse. Wenn die Klitoris berührt und gestreichelt wird, entsteht ein angenehmes Gefühl,ein lustvolles Prickeln. Der ganze Körper reagiert erregt, fühlt sich warm und "sexy".</t>
  </si>
  <si>
    <t>Die kleinen Schamlippen sind der Urethra pars spongiosa homolog. Die Klitoris (Kitzler) ist eine kleine zylindrische Masse aus erigierbarem Gewebe und Nerven und liegt an der vorderen Verbindung der kleinen Schamlippen. Eine Hautschicht, die Klitorisvorhaut, wird an dem Punkt gebildet, an dem sich die kleinen Schamlippen vereinigen, und sie bedeckt den Klitoriskörper. Der exponierte Teil der Klitoris heißt Glans. Die Klitoris ist der Glans penis  (Eichel) beim Mann homolog. Wie die männliche Struktur, so ist auch die Klitoris fähig, sich durch Berührungsreize zu vergrößern, und sie spielt eine Rolle bei der sexuellen Erregung der Frau.</t>
  </si>
  <si>
    <t>[Kontext: Normvarianten der vorzeitigen Pubertätsentwicklung → Prämature Adrenarche]
Klinische Symptome. Betroffen sind v. a. Mädchen zwischen dem 4. und 7. Lebensjahr. Bis auf das Auftreten von Schamund Achselbehaarung bestehen keine Pubertätszeichen. Weitere Zeichen der Androgenisierung (Klitorishypertrophie, Akne etc.) fehlen ebenfalls.</t>
  </si>
  <si>
    <t>Der Begriff Vulva umfasst  alle äußerlich sichtbaren Teile der Geschlechtsregion, also: • den Schamhügel, • den gesamten mit Schamhaaren bedeckten Bereich, • die beiden äußeren, sogenannten großen Schamlippen, • die beiden inneren, sogenannten kleinen Schamlippen, • den Kitzler, auch Klitoris genannt, • den Scheidenvorhof, auch Vestibulum genannt, • die Drüsen des Scheidenvorhofs,  • den Scheideneingang mit dem Jungfernhäutchen und • den Damm.</t>
  </si>
  <si>
    <t>Vor dem Kitzler teilen sich die inneren Schamlippen in zwei Schenkel. Die beiden  unteren Teile vereinigen sich zum sogenannten Frenulum, einem Bändchen, das – wie  das Bändchen unter der Zungenspitze – teilweise angeheftet und teilweise beweglich  ist. Die beiden oberen Teile (es können auch jeweils zwei Hautfalten sein) bilden  zusammen eine Art Haube für den Kitzler, das sogenannte Praeputium, zu deutsch  "Vorhaut".</t>
  </si>
  <si>
    <t>Dort [im Alcock-Kanal] teilt sich der Pudendusnerv in verschiedene kleinere Nervenäste auf, die dann wiederum andere Namen haben und meist nach dem Haut- oder Muskelgebiet benannt sind, das sie versorgen. Das sind in diesem Fall: • die rektalen/analen Äste zur Versorgung des Enddarms und des Afterschlieẞmuskels (Nn. rectales inferiores), • die perinealen Äste, die den Damm, die Scheide und die Harnröhre versorgen (Nn. perineales), wobei sich diese perinealen Äste wiederum verzweigen in noch kleinere Äste (Nn. scrotales bzw. labiales), die beim Mann den Hodensack (Scrotum) und bei der Frau die Schamlippen versorgen, • bei Frauen der klitorale Ast, der den Bereich um die Klitoris (den Kitzler) versorgt (Nervus dorsalis clitoridis) bzw. bei Männern den Penis (Nervus dorsalis penis).</t>
  </si>
  <si>
    <t>Äußere Geschlechtsorgane (äußeres Genitale)  
Das äußere Genitale der Frau wird zur Vulva zusammengefasst.  • Scheidenvorhof (Vestibulum vaginae)  Bartholin-Drüsen,  • Große Schamlippen (große Labien,) • Kleine Schamlippen (kleine Labien),  • Kitzler (Klitoris).</t>
  </si>
  <si>
    <t>Äußere Geschlechtsorgane  der Frau:  Große und kleine Schamlippen (Labien),  Klitoris, Scheidenvorhof, Vorhofdrüsen.</t>
  </si>
  <si>
    <t>Die äußeren, sichtbaren weiblichen Geschlechtsorgane werden unter dem Begriff Vulva zusammengefasst, dazu gehören die kleinen und großen  Schamlippen, der Kitzler (Klitoris) sowie derSchei denvorhof. Der Kitzler befindet sich am oberen Winkel der kleinen Schamlippen und weist zahlreiche Nervenendigungen für die sexuelle Erregung auf, darunter mündet die Harnröhre ein.</t>
  </si>
  <si>
    <t>A. Äußere Genitalien sind die äußeren Schamlippen, die inneren oder kleinen Schamlippen, Scheidenvorhof, Klitoris samt Klitorisvorhaut.</t>
  </si>
  <si>
    <t>Als Bulboklitoralorgan bezeichnen Marino und Lepidi (2014) die eng miteinander verbundenen kavernösen und spongiösen Strukturen des äußeren weiblichen Genitale (Corpora cavernosa bzw. spongiosa). Als erektile Schwellkörper spielen diese Strukturen eine zentrale Rolle bei der sexuellen Erregung und sind wichtige Orte der Erzeugung weiblicher Lust. Zu den Corpora cavernosa gehören: • auf- und absteigender Teil des Klitoriskörpers (Corpus clitoridis, Pars ascendens/descendens), Klitoriswinkel (Angulus clitoridis) sowie • linker und rechter Klitorisschenkel (Crus clitoridis sinistrum/dextrum). Die Corpora spongiosa bestehen aus: • Klitoriseichel (Glans clitoridis), • Vorhofbulben (Bulbi vestibuli, paarig) und • (infra-corporeal unter dem Klitoriskörper") RSP - Residual Spongy Part. Beide Corpora liegen kaudal der Symphyse zwischen den beiden Rr. inferiores des Schambeins im sog. Schambeinbogen (=Arcus pubicus). Die Befestigung des Bulboklitoralorgans am kleinen Becken erfolgt sowohl über das Lig. suspensorium clitoridis, das vom gesamten Klitoriskörper breitflächig zur Symphyse zieht (s. b), als auch über die retrokruralen Faszien der Klitorisschenkel an den Rr. inferiores ossis pubis. Beachte: Das Bulboklitoralorgan ist von der Glans clitoridis bis zu den Enden der Klitorisschenkel etwa 9 cm lang. Die Fourchette (Frenulum labiorum minorum) verbindet die posterioren Ausläufer der beiden kleinen Vulvalippen und begrenzt die Fossa navicularis. Das Frenulum clitoridis (Klitorisbändchen) ist paarig und zieht von der Glans clitoridis in die jeweilige kleine Vulvalippe. Als einzige, von außen sichtbare Struktur erkennt man den vorderen Teil der Glans clitoridis unter der klitoralen Vorhaut (Preputium clitoridis).</t>
  </si>
  <si>
    <t>Fast völlig versteckt liegt an derVerbindungsstelle der beiden  großen Schamlippen ein winziges Organ, die Klitoris oder  der Kitzler. Die Klitoris ist das reizempfindlichste Organ  des gesamten weiblichen Geschlechtsapparates, weil sie besonders stark durchblutet ist. Gewöhnlich entwickelt sich  die Klitoris erst nach Eintritt in das aktive Geschlechtsleben  zu ihrer vollen Größe, Bei Mädchen, die in der Pubertät  masturbieren, entwickelt sich dieses Organ durch das Streicheln früher. Für den Zeugungsvorgang ist die Klitoris nicht erforderlich, aber ihre Stimulierung löst den Orgasmus der Frau aus. Am Kitzler bildet sich das sogenannte  Smegma. Das ist eine weißliche Substanz, die abgesondert  wird. Da sich das Smegma leicht zersetzt, ist es selbstverständlich, daß man sich so oft wie möglich wäscht, um  üblen Geruch zu vermeiden.  Unterhalb des Kitzlers befindet sich eine runde, wulstartige  Erhöhung, in welche die Harnröhre einmündet.</t>
  </si>
  <si>
    <t>Zu Petting  gehört übrigens nicht immer das gegenseitige Streicheln und Berühren der Geschlechtsteile. Wenn aber beide dazu bereit sind, wird die  Lust danach, den andern zu erregen und erregt zu werden, immer  intensiver. Wie dies abläuft, dafür gibt es allerdings kein Schema.  Vielleicht beginnt der Mann zuerst, den Kitzler (die Klitoris), die empfindsamste Stelle bei der Frau, zu berühren und zu reiben: wie stark  oder wie schnell, das hängt davon ab, wie es für die Partnerin am  schönsten ist.</t>
  </si>
  <si>
    <t>DIE KLITORIS 
Die Klitoris, das empfindlichste Organ  der Vulva, ist sozusagen das weibliche  Gegenstück zum männlichen Penis und  besitzt die gleichen Teile, wenn auch en miniature. In anatomischer und physiologischer Hinsicht ist die Klitoris einzigartig. Der Mann besitzt kein Organ, das  nur dazu dient, Sinnesreize zu empfangen und weiterzuleiten, um die sexuelle  Erregung in Gang zu bringen oder zu verstärken.</t>
  </si>
  <si>
    <t>Ein phänotypisch ambivalentes Genitale gestattet zunächst keine eindeutige Geschlechtszuordnung. Zu den Leitsymptomen gehören Klitorishypertrophie, Sinus urogenitalis, partielle labiale Fusion, Hypospadie, Hodenhochstand, Skrotum bipartitum.</t>
  </si>
  <si>
    <t>Was den Mann betrifft, wird er die größte Befriedigung durch die  Eichel erhalten. Eine Frau erhält sie durch die Clitoris. Durch die  Liebkosung und das Streicheln dieser Organe, werden die Partner  den Gipfel der sexuellen Freude erreichen.</t>
  </si>
  <si>
    <t>Das  phallische Ich des Mädchens erfährt das Trauma der primären Kastration in  dem Augenblick, da es die sexuell-phallomorphe Konstitution derJungen bemerkt. Diese narzißtische Wunde eröffnet dem Mädchen symbolisch den Zugang zu seiner Weiblichkeit insofern, als es weiß, daß der ganz besondere Wert  seiner Person in den Augen vonJungen an die Tatsache gebunden ist, daß sein  Genitale gerade nicht das typisch phallomorphe Merkmal besitzt. Das Ich, das  beim Mädchen immer noch phallisch ist und bleibt, akzeptiert dann sein hohlförmiges Genitale und seine Klitoris, weil es sich für das phallische Ich-Ideal  entschieden hat, welches das Mädchen zu einer zentripetal-phallischen Dynamik in seinem verführerischen Verhalten gegenüber Personen mit phallomorpher Konstitution von Körper und Genitale anhält.</t>
  </si>
  <si>
    <t>Wer übrigens doch Spuren hinterlassen hat, sind Frauen der Frühen Neuzeit, die sich als Männer verkleideten und als Soldat oder  als Seemann Dienst taten. Einige sollen sogar Piraten geworden  sein.Diese Form der Travestie war ein damals ziemlich häufigauftretendes Phänomen, das in Büchern und Quasi-(Auto-)Biographien  besungen wurde.Viele wurden erst nachJahren und manchmal erst  nach ihrem Tod als Frauentlarvt. Die Gründefürdiese Travestie  warenverschiedener Natur, aber einigeFrauen hatten sicher auch  sexuelle Absichten. Einigen gelang es sogar,inihrer männlichen  Aufmachung eine Frau zu heiraten. Ein solcher Fall aus der Zeit, in  der van der Merwede seine Triumphe feierte, fand seinen Wegin  die internationale medizinische Literatur dieser Zeit. Eine Frau, die  als Soldat gedient hatte, wurde von Dr. Nicolaas Tulp (bekannt von  Rembrandts Gemälde Die Anatomiedes Dr. Tulp) untersucht und  beschrieben. Hendrikje Verschuur und Trijntje Barends waren so  verliebt ineinander, dass sie geheiratet hätten, wenn das zulässig  gewesenwäre. Bei der körperlichen Untersuchungkonstatierte Tulp, dass Hendrikje eine außerordentlich große Klitoris hatte, mit  der sie den Akt mit Trijntje vollzog. Der Befundwar nichtso  sonderbar, wie es scheint: Die Ärzte stellten diese Art Befund sehr  häufig bei Frauen, die lesbischer Verhaltensweisen verdächtigt oder  beschuldigt wurden. In vielen Fällen sahen sie, was siesehen wollten oder zu sehen erwarteten, wie sie das schonjahrhundertelang  bei Untersuchungen von Geschlechtsteilen getan hatten.</t>
  </si>
  <si>
    <t>Die kleinen Vorhofdrüsen (Glandulae vestibulares minores - hier nicht zu sehen) münden mit zahlreichen Öffnungen in der Nähe des Ostium urethrae  externum, die paarigen großen Vorhofdrüsen (Glandulae vestibulares majores bzw. Bartholin-Drüsen) mit jeweils einem 1 cm langen Gang am Hinterrand des Bulbus vestibuli auf der Innenfläche der kleinen Vulvalippen.</t>
  </si>
  <si>
    <t>Der N. pudendus tritt aus der Fossa ischioanalis und zieht,  nach Abgabe der Nn. rectales inferiores zum M.sphincter ani externus und zur Haut des Anus, an den Hinterrand des Diaphragma urogenitale, wo er sich in seine Endäste (Nn. perineales) aufspaltet. Die oberflächlichen Äste ziehen durch das Spatium perinei superficiale (hier nicht zu sehen) zur Haut des Damms und zu den hinteren Anteilen der großen Vulvalippen (Rr. labiales posteriores). Die tiefen Äste verlaufen im Spatium profundum perinei und innervieren über Rr. musculares die Schwellkörpermuskeln und über den N. dorsalis clitoridis die Clitoris. Die vorderen Anteile der großen Vulvalippen werden von Rr. labiales anteriores aus dem  N. ilioinguinalis versorgt (hier nicht zu sehen).</t>
  </si>
  <si>
    <t>Die Lymphe aus den äußeren weiblichen Geschlechtsorganen fließt in die NIl. inguinales superficiales ab. Einzige Ausnahme bilden die vorderen Klitorisanteile (Corpus und Glans clitoridis). Sie führen ihre Lymphe in die NII. inguinales profundi und NII. iliaci interni ab.</t>
  </si>
  <si>
    <t>[Kontext: Merkmale des "Hermaphroditismus verus (echtes Zwittertum)"]
Sehr seltene Zwitterbildung (in etwa 70% der Fälle weiblicher Karyotyp: 46,XX). Die Keimdrüsen enthalten sowohl Hoden- als auch Ovargewebe (Ovotestis), wobei das Ovargewebe überwiegt. Die äußeren Geschlechtsorgane sind daher in der Regel weiblich ausgeprägt, jedoch mit einer deutlich vergrößerten Clitoris. Ein Uterus ist häufig vorhanden. Die meistens Hermaphroditen werden als Mädchen aufgezogen.</t>
  </si>
  <si>
    <t>Die inneren Lippen werden immer noch oft als "kleine" Labien  bezeichnet. Das ist missverständlich, weil sie oft nicht kleiner  sind, als die äußeren und somit aus der Umarmung der  äußeren Lippen herausragen können.  Oben, wo die äußeren Lippen zusammenwachsen, werden.  sie durch die Kapuze der Klitoris geschützt. Das ist ein kleines  Häutchen, welches die empfindliche Spitze der Klitoris  bedeckt. Wenn sich das Urgenital zum Penis entwickelt, wird  dieses Häutchen zur Vorhaut.</t>
  </si>
  <si>
    <t>Als Vulva werden die äußeren weiblichen Geschlechtsorgane als Ganzes  bezeichnet. Dazu gehören die äußeren und inneren Vulvalippen (Schamlippen), der kleine sichtbare Teil der  Klitoris (Kitzler) und der Vaginaeingang.</t>
  </si>
  <si>
    <t>Manchmal verläuft die Harnröhre auch durch die Klitorisspitze.  Die meisten Menschen bezeichnen sich in diesem Fall als intergeschlechtlich.</t>
  </si>
  <si>
    <t>Der Pudendusnerv ist der „,Hauptnerv" des Beckens. Er entspringt der untersten Region des Rückenmarks im Kreuzbeinbereich und hat drei Äste: den unteren rektalen Ast zum Enddarm und After, den perinealen Ast zum Damm und zur Harnröhre und den klitoralen Ast zur Versorgung der  Klitoris.</t>
  </si>
  <si>
    <t>Aufgrund ihrer weitgehend verhüllten Beschaffenheit lässt sich  die Klitoris nur schwer messen - tatsächlich ist sie leichter zu ertasten, als zu sehen -, aber die Ärzte haben diesbezüglich ihr Bestes getan und sich alle Mühe gegeben, uns entsprechende "Normwerte" zu liefern. In erster Linie konzentrieren sie sich auf Kopf  und Schaft der Klitoris, da diese Elemente die eigentliche Masse  des Organs ausmachen und damit auch das Einzige sind, das dem  prüfenden Finger irgendeinen spürbaren Widerstand entgegensetzt. Die durchschnittliche Säuglingsklitoris misst von der Basis  des Schafts bis zur Spitze der Glans vier bis fünf Millimeter.  Wächst der Körper, wächst die Klitoris mit und erreicht zuletzt  eine durchschnittliche Basis-Glans-Länge von 16 Millimetern.  Doch trotz aller veröffentlichten Standardwerte befleißigt sich  die Klitoris, wie alle übrigen Körperteile auch, der anarchischsten  Abweichungen von jeglicher Norm.</t>
  </si>
  <si>
    <t>[Kontext: Erklärungsansätze zur Existenz und Relevanz der Klitoris]
2. Die Klitoris ist eine rudimentäre Klitoris. Das soeben skizzierte Szenario besagt, dass die Klitoris keine "Anpassung" darstellt und auch niemals dargestellt hat. Sie ist ein rudimentärer Penis. Eine andere These lautet, dass die Klitoris heute vielleicht keinen erkennbaren praktischen Nutzen hat, in der Vergangenheit aber durchaus eine Anpassungsleistung war und mit der Pracht einer ganzen gottverdammten byzantinischen Kuppel erstrahlte. Nach dieser Theorie verhielten sich unsere Urschwestern nicht viel anders als die Bonobos, das heißt, sie setzten die Sexualität als ein Allzweckinstrument ein um Freundschaften zu schließen, um Wogen zu glätten, um einer beliebigen Anzahl von Partnern Fleisch und andere Gunstbezeigungen zu entlocken und um Vaterschaftsklagen zu erschweren. Die Klitoris gab den Urmenschenweibchen einen Anreiz zum Herumexperimentieren, dazu, sich unverbindlich umzusehen, die erotische Entrepreneuse zu spielen. Diese Hypothese könnte erklären, warum Frauen so langsam in Fahrt kommen. Ihre Sexualität ist auf serielle Begegnungen mit einer Reihe verschiedener männlicher Schnellschießer angelegt: Also gut, der hat's nicht ganz gebracht. Dann mache ich mich eben auf und klappere die Savanne ab und nehme mir den Nächsten zur Brust.</t>
  </si>
  <si>
    <t>[Kontext: Erklärungsansätze zur Existenz und Relevanz der Klitoris; Ausführungen zur 2. Theorie (Die Klitoris war mal bedeutsam und größer, mangels Nutzen schrumpft sie evolutionär gerade)]
Sarah Blaffer Hrdy, eine meiner Lieblingsevolutionsbiologinnen, ist eine Verfechterin dieser Es-war-einmal-Theorie. So wie sie die Sache sieht, ist das launische Gebaren des Organs, sein Angewiesensein auf fortgesetzte - und möglicherweise kollektive Aufmerksamkeit, wenn es sein Bestes geben soll, ein deutliches Indiz dafür, dass es sich gerade im Übergangsstadium vom Anpassung- zum Nichtanpassung-Sein befindet. Frau Hrdy argumentiert folgendermaßen: Wenn der weibliche Orgasmus wirklich, wie das alte Märchen besagt, ein zentrales Element der monogamen Lebensweise und der Paarbindung wäre - wenn sein Zweck darin bestünde, zur Herausbildung und Vertiefung einer innigen Beziehung zwischen zwei liebenden Partnern beizutragen dann wäre die menschliche Klitoris weit effizienter, als sie es ist. Dann würde sie allein auf die Kopulationsbewegungen sofort ansprechen und würde Ruhe geben, sobald der Mann fertig ist. Tatsächlich aber ist nur die Minderheit der Frauen im Stande, durch bloẞes Ruck-zuck-Gerammel zum Orgasmus zu kommen. Die meisten sind schon auf etwas Vorarbeit angewiesen. Hinzu kommt noch die Asymmetrie zwischen den Grenzen der männlichen Standfestigkeit und der Scherzgeburtstagskerze der Frau, dieses verfluchten Flämmchens, das immer wieder hochzuckt, egal wie fest du pustest. All dies gibt guten Grund zu der Vermutung, dass die Menschenfrauen einst promiskuöse, begehrliche, bindungslose Diplomatinnen waren, wie es viele Primatenweibchen noch heute sind. Sie vergnügten sich mit so vielen Partnern, wie sich technisch bewerkstelligen ließ, und nahmen die Risiken, die mit der Vielpaarerei einhergehen, in Kauf, um dadurch die laut Hrdy weit ernstere und stets gegenwärtige Gefahr des Infantizids zu verrin106 gern die Tendenz vieler männlicher Tiere nämlich, Nachkommen, an deren "Ehelichkeit" sie zweifeln, kurzerhand umzubringen. So könnten unsere Ahninnen durchaus ihren lateinischen Zitatenschatz ein bisschen durcheinander gemischt und ausgerufen haben: "Ich sah, ich kam, ich siegte!" In der heutigen Welt gewinnt eine Frau kaum an Stärke, wenn sie wie ein Berberaffenweibchen herumpoussiert, und in manchen Kulturen wird solch sittenloses Verhalten sogar mit dem Tod bestraft. So gesehen, könnte es einen Anachronismus bedeuten, die Klitoris noch immer für unser bestes Stück zu halten. Und tatsächlich mutmaßen Hrdy und andere, das Organ sei als Folge des Umstands, dass sein gruppendynamischer und fortpflanzungsspezifischer Zweck nicht länger zum Tragen kam, im Laufe der Jahrtausende langsam zusammengeschrumpft. Es habe sich immer weiter hinter seinen vorhäutigen Vorhang zurückgezogen. Wenn der Trend noch weiter anhält... doch nein, ich will es nicht aussprechen. In dem Fall werde ich mich nur hinsetzen und schreien.</t>
  </si>
  <si>
    <t>Klitoris
Die Klitoris (Kitzler) gehört zu den ➡ Geschlechtsorganen von Mädchen und Frauen. Manche Menschen nennen die Klitoris auch Kitzler. Die Klitoris ist wichtig für die sexuelle Lust von Mädchen und Frauen. Der Großteil der Klitoris befindet sich im Inneren des Körpers. Die Spitze der Klitoris ist gut zu sehen. Sie hat einen kleinen "Hut" und ist besonders empfindlich, so wie die Eichel beim Jungen und Mann. Die Spitze der Klitoris befindet sich zwischen den Vulvalippen (Schamlippen). Bei sexueller Erregung kann die Klitoris anschwellen.</t>
  </si>
  <si>
    <t>[Kontext: Französisch-Deutsches-Medizinwörterbuch]
23 Klitoris, Kitzler [→] 23 clitoris (m.)</t>
  </si>
  <si>
    <t>Die Vulva bedeckt die Klitoris, den Scheideneingang, die Öffnung der Harnröhre (Urethra) und die Schamlippen.</t>
  </si>
  <si>
    <t>Die Klitoris lässt sich nicht hetzen oder herumkommandieren. Eine Frau, die sich sorgt, weil es bei ihr länger dauert, als ihr Partner es möglicherweise verkraften kann, wird umso länger  brauchen. Eine Frau hingegen, die aufhört, im Kopf auf den Fahrplan zu starren, sendet eine unterschwellige Botschaft an ihre Klitoris »Ich bin bereit!« -, und binnen weniger Sekunden kommt  ihr Zug hereingerauscht. Die Klitoris liebt die Macht, und sie strebt nach immer neuer  Bestätigung des Gefühls, dass sie das Sagen hat. Die Anthropologin Helen Fisher hat herausgefunden, dass Frauen, die leicht und  mehrfach hintereinander zum Orgasmus kommen, ein Merkmal gemeinsam haben: Sie übernehmen die Verantwortung für ihre Befriedigung.</t>
  </si>
  <si>
    <t>Doch auch hier [bei der Thematisierung der Erigierbarkeit der Klitoris] sollten wir die Analogie zum Penis nicht zu weit treiben. Eine erregte Klitoris ist geschwollen und elastisch, aber so fest wie ihr penetrationsfreudiges Gegenstück wird sie nicht. Das ist uns allen bewusst. Einen intakten somatosensiblen Kortex sowie eine geeignete Gelegenheit vorausgesetzt, wird jede Frau (und jeder Mann) bestätigen, dass eine erigierte Klitoris sich nicht ganz so steif wie ein Ständer anfühlt. Das Verwunderliche dabei ist, dass der Grund für den Unterschied erst in jüngster Zeit ermittelt wurde. Im Jahr 1996 berichtete ein mit der Erforschung der Mikroarchitektur des Klitorisschafts befasstes Team von italienischen Wissenschaftlern, die Klitoris besitze, den Lehrbüchern zum Trotz, keinen Plexus venosus. Dieses im Penis durchaus vorhandene »Venengeflecht« ist der Hauptabfluss, durch den das Blut das Organ wieder verlässt. Im Zustand der Erregung aber drücken Muskeln im Penisschaft diesen Plexus zusammen, was zur Folge hat, dass zwar weiterhin Blut hineingepumpt wird, aber keines wieder abfließen kann, und siehe: Er steht. Die Klitoris hingegen scheint keinen klar umrissenen, durch Druck verschließbaren Plexus aufzuweisen; die Durchblutung des Organs ist diffuser. Erwacht die Lust, steigt zwar der arterielle Zufluss, aber da der venöse Abflusshahn nicht zugedreht wird, versteift sich die Klitoris auch nicht zur Ministange. Und warum sollte sie auch? Sie hat es nicht nötig, ihre Nase in alles reinzustecken, sich überall befugt oder unbefugt - Zutritt zu verschaffen. Und es könnte durchaus sein, dass es ebendieses relativ komplexe Durchblutungsmuster ist, das es der Klitoris gestattet, sich mühelos rasch auszudehnen und wieder zu entspannen, und damit die Bedingung jener segensreichen weiblichen Gabe darstellt: des multiplen Orgasmus.</t>
  </si>
  <si>
    <t>Die Klitoris-Eichel ist der flammende Docht des Eros, der Ort,  an dem die 8000 Nervenfasern zu einem richtigen kleinen Gehirn zusammenlaufen. Viele Frauen haben eine so empfindliche Glans,  dass sie die direkte Berührung fast als schmerzhaft empfinden und  deswegen die kreisende Stimulierung des Schafts oder des ganzen  Venushügels vorziehen. Der Schaft ist relativ schwach innerviert,  dafür durchziehen ihn Tausende von Blutgefäßen, die ihn bei sexueller Erregung anschwellen und den Kopf immer höher recken  lassen. Zusätzliche Unterstützung erhalten die Expansionsbestrebungen der Klitoris durch die Bulbi vestibuli, zwei an der Basis  der kleinen Schamlippen gelegene Schwellkörper, die noch weiter  dazu beitragen, dass dem Orgänchen das Blut in den Kopf steigt.  Dergestalt durchblutet, bläht sich die lustentbrannte Klitoris zur doppelten Größe ihrer ruhenden Erscheinungsform auf.</t>
  </si>
  <si>
    <t>Wie die klassische griechische Säule ist die Klitoris ein zylindrisches Gebilde, an  dem sich drei Elemente unterscheiden lassen: Basis, Schaft und  Kapitell (oder »Köpfchen«). Aber sie ist eine Säule für Archäologen, denn ihre zwei unteren Elemente sind weitgehend verborgen,  unter der Haut der Vulva vergraben. Der Teil, den du am leichtesten sehen kannst, wenn du die Vulva öffnest, ist die Glans clitoridis, die Entsprechung des Säulenkapitells. Die Glans sitzt stolz,  vielleicht ein bisschen selbstgefällig, unter ihrem zeltförmigen  Dach: eine Kapuze, die durch die Vereinigung der inneren Schamlippen gebildet wird. Glans bedeutet »Eichel« (und clitoridis ist  schlicht der Genitiv von clitoris), womit also der Kopf der Klitoris und der des Penis den gleichen Namen tragen. Und wenn du  sie dir ganz aus der Nähe anschauen könntest, würdest du feststellen, dass die Eichel deiner Klitoris tatsächlich der eines Penis  ähnelt, dass sie dieselbe zum Herzförmigen tendierende jugendstilmäßige Wulstigkeit aufweist - auch wenn sie in Ermangelung  eines Harnröhrenausgangs nicht wie ihr größerer Kollege kyklopisch zurückstarrt.</t>
  </si>
  <si>
    <t>Die Klitoris wird gewöhnlich als die weibliche Entsprechung  des Penis bezeichnet, und embryogenetisch betrachtet trifft dies  auch zweifellos zu. Sie entwickelt sich aus dem gleichen Bereich  des Geschlechtshügels, dem » Glansgebiet«, wie bei Jungen die Peniseichel. Aber die Parallele ist nicht hundertprozentig exakt. Natürlich pinkelt oder ejakuliert eine Frau nicht durch ihre Klitoris.  Sie fängt überhaupt nichts Praktisches mit ihr an. Anders als der Penis ist die Klitoris keine Umkleidung der Harnröhre, sondern  schlicht und einfach ein Bündel von Nerven: 8000 Nervenfasern,  um genau zu sein. Das ist eine so hohe Konzentration von Nervenfasern, wie wir sie nirgendwo sonst im Körper antreffen, Fingerspitzen, Lippen und Zunge eingeschlossen, und sie ist doppelt  so hoch wie im Penis. In diesem Sinne also ist das "kleine Gehirn"  der Frau größer als dasjenige des Mannes. Und das Ganze dient  keinem höheren Zweck, als der Frau Lustgefühle zu verschaffen.  Einzig in der Klitoris sehen wir ein Geschlechtsorgan, das so ausschließlich seiner Funktion und Aufgabe geweiht ist, dass es keines Mondlichts als eines zusätzlichen sekretions- oder exkretionsanregenden Hilfsmittels bedarf. Aus diesem Grund ist es vielleicht  wirklich klug eingerichtet, dass die Klitoris normalerweise in der  Schamspalte verborgen bleibt. Sie ist gewissermaßen ein privater Scherz, ein göttliches Geheimnis, eine Büchse der Pandora, die  nicht ein einziges Übel enthält, dafür randvoll mit Freude gefüllt  ist.  Die Füllung ist gekonnt verstaut, und so ist die Klitoris recht  klein und am besten in Millimetern zu messen. Ihre fetale Entwicklung ist in der 27. Gestationswoche abgeschlossen. Dann  sieht sie bereits so wie an der Neugeborenen aus.</t>
  </si>
  <si>
    <t>[Kontext: Masturbation]
Nur sehr wenige Frauen konzentrieren  sich allein auf die Klitoris; die meisten stimulieren den ganzen Venushügel.</t>
  </si>
  <si>
    <t>Masters und Johnson, zwei Sexualforscher, beharrten darauf, dass der  Orgasmus der Frau von der Klitoris ausgelöst wird und nicht in der Vagina. Viele Frauen kennen jedoch eine Art von Orgasmus, der zwar in der Klitoris beginnt,  sich aber in der Scheide fortsetzt und  noch intensivere Lustgefühle auslöst. Die Ursache dieses Orgasmus soll eine  Stimulation des „G-Punktes" sein (siehe  S. 24).</t>
  </si>
  <si>
    <t>D  as Stimulieren der Klitoris ist für die Frau ungeheuer  wichtig, doch sie ist so winzig, daß man sie leicht übersieht. Deshalb möchte ich kurz auf die Anatomie der Frau zu  sprechen kommen. Der Begriff »Vulva« steht für die gesamten  äußeren Genitalien der Frau - die großen und die kleinen  Schamlippen, die Klitoris und den Scheidenvorhof.</t>
  </si>
  <si>
    <t>Mädchen wissen oft gar nicht so recht, wo denn überhaupt ihr Urin  herausfliesst. Das ist bei Frauen anders als bei Männern: Der Urin kommt nicht etwa durch den Kitzler heraus, sondern durch eine Öffnung, die du zwischen dem Kitzler und dem Scheideneingang findest.</t>
  </si>
  <si>
    <t>Aufgrund ihrer gemeinsamen embryonalen Anlage (s.S.230) stehen die Klitoriseichel und die beiden Bulbi vestibuli über das RSP in Verbindung. Unmittelbar unterhalb der Bulbuskommissur (Commisura bulbi vestibuli) verlaufen Harnröhre und Vagina (s.b). Die vom Vestibulum sicht- und tastbare Vorwölbung zwischen Harnröhrenöffnung und Glans clitoridis entspricht der bindegewebigen Verschmelzung der beiden Urogenitalfalten und wird als Raphe bzw. als Harnröhrenzügel bezeichnet (s.a).  Zwischen RSP und absteigendem Klitoriskörper befindet sich ein Venenkomplex aus 8-10 Vv. communicantes, der nach Georg Ludwig Kobelt, 1844, benannte sog. Kobeltsche Venenkomplex. Bei sexueller Erregung pressen die Muskeln der Klitorisschenkel (M. ischiocavernosus) und der Vorhofbulben (M. bulbospongiosus) rhythmisch Blut über den Kobeltschen Venenkomplex in den Klitoriskörper und die Klitoriseichel.</t>
  </si>
  <si>
    <t>Der venöse Abfluss erfolgt
- aus den Vv. profundae clitoridis, Vv. labiales posteriores sowie der V. bulbi vestibuli in die V. pudenda interna,
- aus den Vv. dorsales superficiales clitoridis und Vv. labiales anteriores in die Vv. pudendae externae (hier nicht zu sehen) und
- aus der V. dorsalis profunda clitoridis in den Plexus venosus vesicalis.</t>
  </si>
  <si>
    <t>[Kontext: Ohrakupunktur]
Klitoris/Glans penis 
Lage:  Vor der Incisura supratragica am Vorderrand der aufsteigenden Helix,  wo der knorpelige Rand unter der Haut zu tasten ist. Unterhalb Punkt  Urethra.  Entspricht in seiner Bedeutung dem Frustrationspunkt. 
Cave: wird oft verwechselt mit dem Interferonpunkt in der Incisura supratragica (s. a. „Übergeordnete Punkte“ → S. 207 und „Hilfslinien"  → S. 287).</t>
  </si>
  <si>
    <t>In Abwesenheit von DHT entsteht aus dem Genitalhöcker die Klitoris in  weiblichen Embryonen.</t>
  </si>
  <si>
    <t>[Kontext: Beispiel eines Lehrervortrags in einer Stunde zum Thema "Geschlechtsakt" für Schüler*innen der 5. und 6. Klassenstufe]
Zwischen den beiden Geschlechtslippen der Mädchen ist oben ein kleines Organ, das man den Kitzler nennt. Wenn ein Mädchen seinen Kitzler oder seine Geschlechtslippen berührt und mit der Hand daran entlangstreicht, fühlt es genauso das Aufregende und Schöne, das ein Junge spürt, der sein festes Glied in die Hand nimmt. Beim Geschlechtsverkehr, wenn die Scheide das Geschlechtsglied um schließt, das sich in ihr hin und her bewegt, wird gleichzeitig dieses kleine Organ der Kitzler oben zwischen den Geschlechtslippen mitgereizt. Je mehr sich das Glied in der Scheide bewegt, umso stärker werden die Reizungen und das sexuelle Lustgefühl bei der Frau.</t>
  </si>
  <si>
    <t>Dateiname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</si>
</sst>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extLst>
        <ext xmlns:xfpb="http://schemas.microsoft.com/office/spreadsheetml/2022/featurepropertybag" uri="{C7286773-470A-42A8-94C5-96B5CB345126}">
          <xfpb:xfComplement i="0"/>
        </ext>
      </extLst>
    </xf>
  </cellXfs>
  <cellStyles count="1">
    <cellStyle name="Standard" xfId="0" builtinId="0"/>
  </cellStyles>
  <dxfs count="14">
    <dxf>
      <numFmt numFmtId="0" formatCode="General"/>
    </dxf>
    <dxf>
      <extLst>
        <ext xmlns:xfpb="http://schemas.microsoft.com/office/spreadsheetml/2022/featurepropertybag" uri="{0417FA29-78FA-4A13-93AC-8FF0FAFDF519}">
          <xfpb:DXFComplement i="0"/>
        </ext>
      </extLst>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extLst>
        <ext xmlns:xfpb="http://schemas.microsoft.com/office/spreadsheetml/2022/featurepropertybag" uri="{0417FA29-78FA-4A13-93AC-8FF0FAFDF519}">
          <xfpb:DXFComplement i="0"/>
        </ext>
      </extLst>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connections" Target="connections.xml"/><Relationship Id="rId9"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3BB9B5F-7B99-41A3-A88D-F9DEF87F2458}" autoFormatId="16" applyNumberFormats="0" applyBorderFormats="0" applyFontFormats="0" applyPatternFormats="0" applyAlignmentFormats="0" applyWidthHeightFormats="0">
  <queryTableRefresh nextId="13" unboundColumnsRight="5">
    <queryTableFields count="12">
      <queryTableField id="1" name="Column1" tableColumnId="1"/>
      <queryTableField id="2" name="Column2" tableColumnId="2"/>
      <queryTableField id="3" name="Column3" tableColumnId="3"/>
      <queryTableField id="4" name="Column4" tableColumnId="4"/>
      <queryTableField id="5" name="Column5" tableColumnId="5"/>
      <queryTableField id="7" dataBound="0" tableColumnId="7"/>
      <queryTableField id="6" name="Column6" tableColumnId="6"/>
      <queryTableField id="8" dataBound="0" tableColumnId="8"/>
      <queryTableField id="11" dataBound="0" tableColumnId="11"/>
      <queryTableField id="9" dataBound="0" tableColumnId="9"/>
      <queryTableField id="10" dataBound="0" tableColumnId="10"/>
      <queryTableField id="1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B44F2-1379-4A87-9FDC-12F1B66CE186}" name="Table_textAnnotations" displayName="Table_textAnnotations" ref="A1:L468" tableType="queryTable" totalsRowCount="1">
  <autoFilter ref="A1:L467" xr:uid="{7E1B44F2-1379-4A87-9FDC-12F1B66CE186}"/>
  <tableColumns count="12">
    <tableColumn id="1" xr3:uid="{3F9994B5-DE2F-4FB3-A5A1-538C203808CB}" uniqueName="1" name="Buch_Key" queryTableFieldId="1" dataDxfId="13"/>
    <tableColumn id="2" xr3:uid="{43390768-61C0-4D25-9E06-0DDC1CC76694}" uniqueName="2" name="Buch_Titel" queryTableFieldId="2" dataDxfId="12"/>
    <tableColumn id="3" xr3:uid="{F7239C36-7F83-4EA8-B5E1-EE1FD63BBFCC}" uniqueName="3" name="Buch_Jahr" queryTableFieldId="3"/>
    <tableColumn id="4" xr3:uid="{1400FAAD-48E6-463B-BAC7-3CECD30F3113}" uniqueName="4" name="Anno_Key" queryTableFieldId="4" dataDxfId="11"/>
    <tableColumn id="5" xr3:uid="{AE6AA61C-F75C-42BD-B433-23D11352D849}" uniqueName="5" name="Anno_Page_Auto" queryTableFieldId="5" dataDxfId="10"/>
    <tableColumn id="7" xr3:uid="{CF1B7EF5-5DA5-4865-9AE8-D5EFFB0EBA3C}" uniqueName="7" name="Anno_Page_manuell" queryTableFieldId="7" dataDxfId="9"/>
    <tableColumn id="6" xr3:uid="{5A51325E-3FB2-44D0-90B5-E4BF32325384}" uniqueName="6" name="Anno_Text" queryTableFieldId="6" dataDxfId="8"/>
    <tableColumn id="8" xr3:uid="{7D2080D6-163B-41C8-9E6B-03AF62BC010F}" uniqueName="8" name="Anno_Text_mit Umbrüchen" queryTableFieldId="8" dataDxfId="7" totalsRowDxfId="3">
      <calculatedColumnFormula>_xlfn.TEXTJOIN(CHAR(10),FALSE, _xlfn.TEXTSPLIT(Table_textAnnotations[[#This Row],[Anno_Text]], "ABSATZ"))</calculatedColumnFormula>
    </tableColumn>
    <tableColumn id="11" xr3:uid="{EF0936D1-3C7A-43CA-8B26-BAEE3DC0069D}" uniqueName="11" name="Anno_Text_mit Umbrüchen2" queryTableFieldId="11" dataDxfId="6" totalsRowDxfId="2"/>
    <tableColumn id="9" xr3:uid="{F08F0EBB-D81B-4D9F-A8F0-D5FBDFC1FD68}" uniqueName="9" name="Anatomisch-physiologisch?" totalsRowFunction="custom" queryTableFieldId="9" dataDxfId="5" totalsRowDxfId="1">
      <totalsRowFormula>COUNTIF(Table_textAnnotations[Anatomisch-physiologisch?], TRUE)</totalsRowFormula>
    </tableColumn>
    <tableColumn id="10" xr3:uid="{30FD8A1B-2041-4C95-8C76-6A271D3E014B}" uniqueName="10" name="Bemerkung" queryTableFieldId="10" dataDxfId="4"/>
    <tableColumn id="12" xr3:uid="{D415BFF9-BBD0-4FE5-9362-F308A6B6B37D}" uniqueName="12" name="Dateiname" queryTableFieldId="12" dataDxfId="0">
      <calculatedColumnFormula>_xlfn.TEXTJOIN("_",TRUE,Table_textAnnotations[[#This Row],[Buch_Key]],Table_textAnnotations[[#This Row],[Anno_Key]],IF(ISBLANK(Table_textAnnotations[[#This Row],[Anno_Page_manuell]]),Table_textAnnotations[[#This Row],[Anno_Page_Auto]],Table_textAnnotations[[#This Row],[Anno_Page_manuell]]))&amp; ".txt"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64C73-A65B-4FBA-8677-40DB50F38208}">
  <dimension ref="A1:L468"/>
  <sheetViews>
    <sheetView tabSelected="1" topLeftCell="G1" zoomScale="115" zoomScaleNormal="115" workbookViewId="0">
      <selection activeCell="J465" sqref="J465"/>
    </sheetView>
  </sheetViews>
  <sheetFormatPr baseColWidth="10" defaultColWidth="11.42578125" defaultRowHeight="15" x14ac:dyDescent="0.25"/>
  <cols>
    <col min="1" max="1" width="11.42578125" bestFit="1" customWidth="1"/>
    <col min="2" max="2" width="81.140625" bestFit="1" customWidth="1"/>
    <col min="4" max="4" width="11.85546875" bestFit="1" customWidth="1"/>
    <col min="5" max="5" width="11.5703125" customWidth="1"/>
    <col min="6" max="6" width="19.5703125" customWidth="1"/>
    <col min="7" max="7" width="42.140625" customWidth="1"/>
    <col min="8" max="8" width="125.5703125" style="1" hidden="1" customWidth="1"/>
    <col min="9" max="9" width="125.5703125" style="1" customWidth="1"/>
    <col min="10" max="10" width="28.28515625" bestFit="1" customWidth="1"/>
    <col min="12" max="12" width="29.85546875" bestFit="1" customWidth="1"/>
  </cols>
  <sheetData>
    <row r="1" spans="1:12" x14ac:dyDescent="0.25">
      <c r="A1" t="s">
        <v>0</v>
      </c>
      <c r="B1" t="s">
        <v>1</v>
      </c>
      <c r="C1" t="s">
        <v>2</v>
      </c>
      <c r="D1" t="s">
        <v>3</v>
      </c>
      <c r="E1" t="s">
        <v>4</v>
      </c>
      <c r="F1" s="1" t="s">
        <v>5</v>
      </c>
      <c r="G1" t="s">
        <v>6</v>
      </c>
      <c r="H1" s="1" t="s">
        <v>1316</v>
      </c>
      <c r="I1" s="1" t="s">
        <v>1322</v>
      </c>
      <c r="J1" s="2" t="s">
        <v>1317</v>
      </c>
      <c r="K1" t="s">
        <v>1319</v>
      </c>
      <c r="L1" t="s">
        <v>1456</v>
      </c>
    </row>
    <row r="2" spans="1:12" ht="45" x14ac:dyDescent="0.25">
      <c r="A2" t="s">
        <v>7</v>
      </c>
      <c r="B2" t="s">
        <v>8</v>
      </c>
      <c r="C2">
        <v>1946</v>
      </c>
      <c r="D2" t="s">
        <v>9</v>
      </c>
      <c r="E2" t="s">
        <v>10</v>
      </c>
      <c r="F2">
        <v>114</v>
      </c>
      <c r="G2" t="s">
        <v>11</v>
      </c>
      <c r="H2" s="1" t="str">
        <f>_xlfn.TEXTJOIN(CHAR(10),FALSE, _xlfn.TEXTSPLIT(Table_textAnnotations[[#This Row],[Anno_Text]], "ABSATZ"))</f>
        <v>Der äußere, weibliche Genitalapparat umfaßt zunächst  zwei große Hautfalten oder Schamlippen. die Labia majora  und zwei kleine. haarlose Hautfalten, die Labia minora, die  sich vorn zur Clitoris mit dem Praeputium clitoridis vereinigen und seitlich das Vestibulum vaginae begrenzen.</v>
      </c>
      <c r="I2" s="1" t="s">
        <v>1397</v>
      </c>
      <c r="J2" s="2" t="b">
        <v>1</v>
      </c>
      <c r="L2" t="str">
        <f>_xlfn.TEXTJOIN("_",TRUE,Table_textAnnotations[[#This Row],[Buch_Key]],Table_textAnnotations[[#This Row],[Anno_Key]],IF(ISBLANK(Table_textAnnotations[[#This Row],[Anno_Page_manuell]]),Table_textAnnotations[[#This Row],[Anno_Page_Auto]],Table_textAnnotations[[#This Row],[Anno_Page_manuell]]))&amp; ".txt"</f>
        <v>BZS6T4MT_HRQVHUY9_114.txt</v>
      </c>
    </row>
    <row r="3" spans="1:12" ht="30" x14ac:dyDescent="0.25">
      <c r="A3" t="s">
        <v>7</v>
      </c>
      <c r="B3" t="s">
        <v>8</v>
      </c>
      <c r="C3">
        <v>1946</v>
      </c>
      <c r="D3" t="s">
        <v>12</v>
      </c>
      <c r="E3" t="s">
        <v>10</v>
      </c>
      <c r="F3">
        <v>114</v>
      </c>
      <c r="G3" t="s">
        <v>13</v>
      </c>
      <c r="H3" s="1" t="str">
        <f>_xlfn.TEXTJOIN(CHAR(10),FALSE, _xlfn.TEXTSPLIT(Table_textAnnotations[[#This Row],[Anno_Text]], "ABSATZ"))</f>
        <v>Am hinteren Innenrand der Labia minora mündet  der Ductus excretorius der Glandula vestibularis major Bartholini) in das Ver-tibulum vaginae; an der Basis der Labia minora ein cavernöses Schwellkörpergewebe: Bulbus  vestibuli.</v>
      </c>
      <c r="I3" s="1" t="s">
        <v>1398</v>
      </c>
      <c r="J3" s="2" t="b">
        <v>1</v>
      </c>
      <c r="L3" t="str">
        <f>_xlfn.TEXTJOIN("_",TRUE,Table_textAnnotations[[#This Row],[Buch_Key]],Table_textAnnotations[[#This Row],[Anno_Key]],IF(ISBLANK(Table_textAnnotations[[#This Row],[Anno_Page_manuell]]),Table_textAnnotations[[#This Row],[Anno_Page_Auto]],Table_textAnnotations[[#This Row],[Anno_Page_manuell]]))&amp; ".txt"</f>
        <v>BZS6T4MT_M2BXMD3R_114.txt</v>
      </c>
    </row>
    <row r="4" spans="1:12" x14ac:dyDescent="0.25">
      <c r="A4" t="s">
        <v>7</v>
      </c>
      <c r="B4" t="s">
        <v>8</v>
      </c>
      <c r="C4">
        <v>1946</v>
      </c>
      <c r="D4" t="s">
        <v>14</v>
      </c>
      <c r="E4" t="s">
        <v>15</v>
      </c>
      <c r="F4">
        <v>115</v>
      </c>
      <c r="G4" t="s">
        <v>16</v>
      </c>
      <c r="H4" s="1" t="str">
        <f>_xlfn.TEXTJOIN(CHAR(10),FALSE, _xlfn.TEXTSPLIT(Table_textAnnotations[[#This Row],[Anno_Text]], "ABSATZ"))</f>
        <v>Bei der Frau tritt zwischen Lig. arcuatum  und Lig. praeurethrale die Vena dorsalis clitoridis mit den begleitenden Arterien hindurch.</v>
      </c>
      <c r="I4" s="1" t="s">
        <v>16</v>
      </c>
      <c r="J4" s="2" t="b">
        <v>1</v>
      </c>
      <c r="L4" t="str">
        <f>_xlfn.TEXTJOIN("_",TRUE,Table_textAnnotations[[#This Row],[Buch_Key]],Table_textAnnotations[[#This Row],[Anno_Key]],IF(ISBLANK(Table_textAnnotations[[#This Row],[Anno_Page_manuell]]),Table_textAnnotations[[#This Row],[Anno_Page_Auto]],Table_textAnnotations[[#This Row],[Anno_Page_manuell]]))&amp; ".txt"</f>
        <v>BZS6T4MT_KSIJHSDS_115.txt</v>
      </c>
    </row>
    <row r="5" spans="1:12" ht="30" x14ac:dyDescent="0.25">
      <c r="A5" t="s">
        <v>7</v>
      </c>
      <c r="B5" t="s">
        <v>8</v>
      </c>
      <c r="C5">
        <v>1946</v>
      </c>
      <c r="D5" t="s">
        <v>17</v>
      </c>
      <c r="E5" t="s">
        <v>15</v>
      </c>
      <c r="F5">
        <v>115</v>
      </c>
      <c r="G5" t="s">
        <v>18</v>
      </c>
      <c r="H5" s="1" t="str">
        <f>_xlfn.TEXTJOIN(CHAR(10),FALSE, _xlfn.TEXTSPLIT(Table_textAnnotations[[#This Row],[Anno_Text]], "ABSATZ"))</f>
        <v>Der M. Bulbocavernosus umfaßt das Ostium vaginae  und verbindet sich auch mit dem Sphincter ani externus; die Muskelfasern bleiben hierbei teils auf der gleichen  Seite, teils überkreuzen sie die mittlere Dammregion  zwischen Anal- und Vaginalöffnung.</v>
      </c>
      <c r="I5" s="1" t="s">
        <v>18</v>
      </c>
      <c r="J5" s="2" t="b">
        <v>0</v>
      </c>
      <c r="K5" t="s">
        <v>1318</v>
      </c>
      <c r="L5" t="str">
        <f>_xlfn.TEXTJOIN("_",TRUE,Table_textAnnotations[[#This Row],[Buch_Key]],Table_textAnnotations[[#This Row],[Anno_Key]],IF(ISBLANK(Table_textAnnotations[[#This Row],[Anno_Page_manuell]]),Table_textAnnotations[[#This Row],[Anno_Page_Auto]],Table_textAnnotations[[#This Row],[Anno_Page_manuell]]))&amp; ".txt"</f>
        <v>BZS6T4MT_HBMVMHR9_115.txt</v>
      </c>
    </row>
    <row r="6" spans="1:12" x14ac:dyDescent="0.25">
      <c r="A6" t="s">
        <v>7</v>
      </c>
      <c r="B6" t="s">
        <v>8</v>
      </c>
      <c r="C6">
        <v>1946</v>
      </c>
      <c r="D6" t="s">
        <v>19</v>
      </c>
      <c r="E6" t="s">
        <v>15</v>
      </c>
      <c r="F6">
        <v>115</v>
      </c>
      <c r="G6" t="s">
        <v>20</v>
      </c>
      <c r="H6" s="1" t="str">
        <f>_xlfn.TEXTJOIN(CHAR(10),FALSE, _xlfn.TEXTSPLIT(Table_textAnnotations[[#This Row],[Anno_Text]], "ABSATZ"))</f>
        <v>Der M. Ischiocavernosus  bedeckt die paarigen Crura clitoridis.</v>
      </c>
      <c r="I6" s="1" t="s">
        <v>20</v>
      </c>
      <c r="J6" s="2" t="b">
        <v>1</v>
      </c>
      <c r="L6" t="str">
        <f>_xlfn.TEXTJOIN("_",TRUE,Table_textAnnotations[[#This Row],[Buch_Key]],Table_textAnnotations[[#This Row],[Anno_Key]],IF(ISBLANK(Table_textAnnotations[[#This Row],[Anno_Page_manuell]]),Table_textAnnotations[[#This Row],[Anno_Page_Auto]],Table_textAnnotations[[#This Row],[Anno_Page_manuell]]))&amp; ".txt"</f>
        <v>BZS6T4MT_GEBXC9PA_115.txt</v>
      </c>
    </row>
    <row r="7" spans="1:12" ht="45" x14ac:dyDescent="0.25">
      <c r="A7" t="s">
        <v>21</v>
      </c>
      <c r="B7" t="s">
        <v>22</v>
      </c>
      <c r="C7">
        <v>1947</v>
      </c>
      <c r="D7" t="s">
        <v>23</v>
      </c>
      <c r="E7" t="s">
        <v>24</v>
      </c>
      <c r="G7" t="s">
        <v>25</v>
      </c>
      <c r="H7" s="1" t="str">
        <f>_xlfn.TEXTJOIN(CHAR(10),FALSE, _xlfn.TEXTSPLIT(Table_textAnnotations[[#This Row],[Anno_Text]], "ABSATZ"))</f>
        <v>Wenn man bei einer Frau nach einem syphilitischen Primäraffekt sucht, weil etwa mit der Möglichkeit einer frischen Infektion zu rechnen ist oder weil sie als Infektionsquelle in Frage kommt, so müssen besonders die Klitorisgegend, die Urethralmündung, die Innenseiten der Labien und die hintere Kommissur des Scheideneinganges und nicht zu vergessen die Portio uteri sorgfältig nachgesehen werden.</v>
      </c>
      <c r="I7" s="1" t="s">
        <v>25</v>
      </c>
      <c r="J7" s="2" t="b">
        <v>0</v>
      </c>
      <c r="L7" t="str">
        <f>_xlfn.TEXTJOIN("_",TRUE,Table_textAnnotations[[#This Row],[Buch_Key]],Table_textAnnotations[[#This Row],[Anno_Key]],IF(ISBLANK(Table_textAnnotations[[#This Row],[Anno_Page_manuell]]),Table_textAnnotations[[#This Row],[Anno_Page_Auto]],Table_textAnnotations[[#This Row],[Anno_Page_manuell]]))&amp; ".txt"</f>
        <v>XGDPIHSB_UQKI5R8K_90f.txt</v>
      </c>
    </row>
    <row r="8" spans="1:12" ht="45" x14ac:dyDescent="0.25">
      <c r="A8" t="s">
        <v>26</v>
      </c>
      <c r="B8" t="s">
        <v>27</v>
      </c>
      <c r="C8">
        <v>1948</v>
      </c>
      <c r="D8" t="s">
        <v>28</v>
      </c>
      <c r="E8" t="s">
        <v>29</v>
      </c>
      <c r="G8" t="s">
        <v>30</v>
      </c>
      <c r="H8" s="1" t="str">
        <f>_xlfn.TEXTJOIN(CHAR(10),FALSE, _xlfn.TEXTSPLIT(Table_textAnnotations[[#This Row],[Anno_Text]], "ABSATZ"))</f>
        <v>Pruritus vulvae.  Starkes, oft unerträgliches Brennen und Jucken an den  äußeren Genitalien, im Scheideneingang und am Anus,  manchmal mit Rötung der kleinen Labien und der Klitoris, geringe Hauteinrisse. Klärung der Ätiologie (Dia  betes, Fluor, Trichomonaden, Oxyuren, Kraurosis und  Leukoplakia vulvae).</v>
      </c>
      <c r="I8" s="1" t="s">
        <v>30</v>
      </c>
      <c r="J8" s="2" t="b">
        <v>0</v>
      </c>
      <c r="L8" t="str">
        <f>_xlfn.TEXTJOIN("_",TRUE,Table_textAnnotations[[#This Row],[Buch_Key]],Table_textAnnotations[[#This Row],[Anno_Key]],IF(ISBLANK(Table_textAnnotations[[#This Row],[Anno_Page_manuell]]),Table_textAnnotations[[#This Row],[Anno_Page_Auto]],Table_textAnnotations[[#This Row],[Anno_Page_manuell]]))&amp; ".txt"</f>
        <v>B4TI5NER_A2LQB6TG_474.txt</v>
      </c>
    </row>
    <row r="9" spans="1:12" x14ac:dyDescent="0.25">
      <c r="A9" t="s">
        <v>31</v>
      </c>
      <c r="B9" t="s">
        <v>32</v>
      </c>
      <c r="C9">
        <v>1950</v>
      </c>
      <c r="D9" t="s">
        <v>33</v>
      </c>
      <c r="E9" t="s">
        <v>34</v>
      </c>
      <c r="G9" t="s">
        <v>35</v>
      </c>
      <c r="H9" s="1" t="str">
        <f>_xlfn.TEXTJOIN(CHAR(10),FALSE, _xlfn.TEXTSPLIT(Table_textAnnotations[[#This Row],[Anno_Text]], "ABSATZ"))</f>
        <v>Diese bestehen aus: 1. den großen Schamlippen, 2. den kleinen Schamlippen, 3. dem Kitzler, 4. dem Jungfernhäutchen.</v>
      </c>
      <c r="I9" s="1" t="s">
        <v>35</v>
      </c>
      <c r="J9" s="2" t="b">
        <v>1</v>
      </c>
      <c r="L9" t="str">
        <f>_xlfn.TEXTJOIN("_",TRUE,Table_textAnnotations[[#This Row],[Buch_Key]],Table_textAnnotations[[#This Row],[Anno_Key]],IF(ISBLANK(Table_textAnnotations[[#This Row],[Anno_Page_manuell]]),Table_textAnnotations[[#This Row],[Anno_Page_Auto]],Table_textAnnotations[[#This Row],[Anno_Page_manuell]]))&amp; ".txt"</f>
        <v>9DT96CCM_6X7YN4GT_42f.txt</v>
      </c>
    </row>
    <row r="10" spans="1:12" ht="30" x14ac:dyDescent="0.25">
      <c r="A10" t="s">
        <v>31</v>
      </c>
      <c r="B10" t="s">
        <v>32</v>
      </c>
      <c r="C10">
        <v>1950</v>
      </c>
      <c r="D10" t="s">
        <v>36</v>
      </c>
      <c r="E10" t="s">
        <v>37</v>
      </c>
      <c r="G10" t="s">
        <v>38</v>
      </c>
      <c r="H10" s="1" t="str">
        <f>_xlfn.TEXTJOIN(CHAR(10),FALSE, _xlfn.TEXTSPLIT(Table_textAnnotations[[#This Row],[Anno_Text]], "ABSATZ"))</f>
        <v>Gleich  wie die großen verlaufen die kleinen, nichtbehaarten Schamlippen. An ihrer oberen Vereinigungsstelle umfassen sie den Kitzler, das Wollustorgan des Weibes.</v>
      </c>
      <c r="I10" s="1" t="s">
        <v>38</v>
      </c>
      <c r="J10" s="2" t="b">
        <v>1</v>
      </c>
      <c r="L10" t="str">
        <f>_xlfn.TEXTJOIN("_",TRUE,Table_textAnnotations[[#This Row],[Buch_Key]],Table_textAnnotations[[#This Row],[Anno_Key]],IF(ISBLANK(Table_textAnnotations[[#This Row],[Anno_Page_manuell]]),Table_textAnnotations[[#This Row],[Anno_Page_Auto]],Table_textAnnotations[[#This Row],[Anno_Page_manuell]]))&amp; ".txt"</f>
        <v>9DT96CCM_GWFTKQ6T_43.txt</v>
      </c>
    </row>
    <row r="11" spans="1:12" ht="45" x14ac:dyDescent="0.25">
      <c r="A11" t="s">
        <v>39</v>
      </c>
      <c r="B11" t="s">
        <v>40</v>
      </c>
      <c r="C11">
        <v>1951</v>
      </c>
      <c r="D11" t="s">
        <v>41</v>
      </c>
      <c r="E11" t="s">
        <v>42</v>
      </c>
      <c r="F11">
        <v>261</v>
      </c>
      <c r="G11" t="s">
        <v>43</v>
      </c>
      <c r="H11" s="1" t="str">
        <f>_xlfn.TEXTJOIN(CHAR(10),FALSE, _xlfn.TEXTSPLIT(Table_textAnnotations[[#This Row],[Anno_Text]], "ABSATZ"))</f>
        <v>[Kontext: Das adreno-genitale Syndrom bei Kindern] Besonders deutlich sind die Veränderungen des äußeren Genitale: Die Labien bleiben klein, die Klitoris hingegen wächst enorm und nimmt besonders dann, wenn es zur Bildung eines Präputium kommt, den Charakter eines Penis an.</v>
      </c>
      <c r="I11" s="1" t="s">
        <v>1399</v>
      </c>
      <c r="J11" s="2" t="b">
        <v>1</v>
      </c>
      <c r="K11" t="s">
        <v>1320</v>
      </c>
      <c r="L11" t="str">
        <f>_xlfn.TEXTJOIN("_",TRUE,Table_textAnnotations[[#This Row],[Buch_Key]],Table_textAnnotations[[#This Row],[Anno_Key]],IF(ISBLANK(Table_textAnnotations[[#This Row],[Anno_Page_manuell]]),Table_textAnnotations[[#This Row],[Anno_Page_Auto]],Table_textAnnotations[[#This Row],[Anno_Page_manuell]]))&amp; ".txt"</f>
        <v>N9GDRRND_KSQ3XJFH_261.txt</v>
      </c>
    </row>
    <row r="12" spans="1:12" ht="45" x14ac:dyDescent="0.25">
      <c r="A12" t="s">
        <v>39</v>
      </c>
      <c r="B12" t="s">
        <v>40</v>
      </c>
      <c r="C12">
        <v>1951</v>
      </c>
      <c r="D12" t="s">
        <v>44</v>
      </c>
      <c r="E12" t="s">
        <v>45</v>
      </c>
      <c r="F12">
        <v>263</v>
      </c>
      <c r="G12" t="s">
        <v>46</v>
      </c>
      <c r="H12" s="1" t="str">
        <f>_xlfn.TEXTJOIN(CHAR(10),FALSE, _xlfn.TEXTSPLIT(Table_textAnnotations[[#This Row],[Anno_Text]], "ABSATZ"))</f>
        <v>[Kontext: Das adreno-genitale Syndrom bei geschlechtsreifen Frauen] In der Regel ist die Klitoris verändert und vergrößert, wenn das Ausmaß dieser Veränderung auch verschieden ist. Es kann sich um die penisartig vergrößerte Klitoris ein Präputium bilden, das nach caudal, ähnlich wie bei einer Hypospadie, gespalten ist.</v>
      </c>
      <c r="I12" s="1" t="s">
        <v>1353</v>
      </c>
      <c r="J12" s="2" t="b">
        <v>1</v>
      </c>
      <c r="K12" t="s">
        <v>1320</v>
      </c>
      <c r="L12" t="str">
        <f>_xlfn.TEXTJOIN("_",TRUE,Table_textAnnotations[[#This Row],[Buch_Key]],Table_textAnnotations[[#This Row],[Anno_Key]],IF(ISBLANK(Table_textAnnotations[[#This Row],[Anno_Page_manuell]]),Table_textAnnotations[[#This Row],[Anno_Page_Auto]],Table_textAnnotations[[#This Row],[Anno_Page_manuell]]))&amp; ".txt"</f>
        <v>N9GDRRND_CVSI6B3E_263.txt</v>
      </c>
    </row>
    <row r="13" spans="1:12" ht="45" x14ac:dyDescent="0.25">
      <c r="A13" t="s">
        <v>39</v>
      </c>
      <c r="B13" t="s">
        <v>40</v>
      </c>
      <c r="C13">
        <v>1951</v>
      </c>
      <c r="D13" t="s">
        <v>47</v>
      </c>
      <c r="E13" t="s">
        <v>48</v>
      </c>
      <c r="F13">
        <v>266</v>
      </c>
      <c r="G13" t="s">
        <v>49</v>
      </c>
      <c r="H13" s="1" t="str">
        <f>_xlfn.TEXTJOIN(CHAR(10),FALSE, _xlfn.TEXTSPLIT(Table_textAnnotations[[#This Row],[Anno_Text]], "ABSATZ"))</f>
        <v>[Kontext: Pathologische Physiologie des adreno-genitalen Syndroms] So konnte HODLER nach der Injektion von Rindenextrakten bei jungen Meerschweinchen Wachstum der Klitoris und maskulinisierende Wirkung nachweisen.</v>
      </c>
      <c r="I13" s="1" t="s">
        <v>1352</v>
      </c>
      <c r="J13" s="2" t="b">
        <v>1</v>
      </c>
      <c r="K13" t="s">
        <v>1320</v>
      </c>
      <c r="L13" t="str">
        <f>_xlfn.TEXTJOIN("_",TRUE,Table_textAnnotations[[#This Row],[Buch_Key]],Table_textAnnotations[[#This Row],[Anno_Key]],IF(ISBLANK(Table_textAnnotations[[#This Row],[Anno_Page_manuell]]),Table_textAnnotations[[#This Row],[Anno_Page_Auto]],Table_textAnnotations[[#This Row],[Anno_Page_manuell]]))&amp; ".txt"</f>
        <v>N9GDRRND_R3S55X8R_266.txt</v>
      </c>
    </row>
    <row r="14" spans="1:12" ht="30" x14ac:dyDescent="0.25">
      <c r="A14" t="s">
        <v>39</v>
      </c>
      <c r="B14" t="s">
        <v>40</v>
      </c>
      <c r="C14">
        <v>1951</v>
      </c>
      <c r="D14" t="s">
        <v>50</v>
      </c>
      <c r="E14" t="s">
        <v>51</v>
      </c>
      <c r="F14">
        <v>396</v>
      </c>
      <c r="G14" t="s">
        <v>52</v>
      </c>
      <c r="H14" s="1" t="str">
        <f>_xlfn.TEXTJOIN(CHAR(10),FALSE, _xlfn.TEXTSPLIT(Table_textAnnotations[[#This Row],[Anno_Text]], "ABSATZ"))</f>
        <v>[Kontext: Dystrophia adiposo-genitalis] Beim Mädchen zeigt das Genitale den infantilen Habitus, Labien und Clitoris entwickeln sich nicht.</v>
      </c>
      <c r="I14" s="1" t="s">
        <v>1400</v>
      </c>
      <c r="J14" s="2" t="b">
        <v>1</v>
      </c>
      <c r="K14" t="s">
        <v>1320</v>
      </c>
      <c r="L14" t="str">
        <f>_xlfn.TEXTJOIN("_",TRUE,Table_textAnnotations[[#This Row],[Buch_Key]],Table_textAnnotations[[#This Row],[Anno_Key]],IF(ISBLANK(Table_textAnnotations[[#This Row],[Anno_Page_manuell]]),Table_textAnnotations[[#This Row],[Anno_Page_Auto]],Table_textAnnotations[[#This Row],[Anno_Page_manuell]]))&amp; ".txt"</f>
        <v>N9GDRRND_LLPLPG4I_396.txt</v>
      </c>
    </row>
    <row r="15" spans="1:12" x14ac:dyDescent="0.25">
      <c r="A15" t="s">
        <v>53</v>
      </c>
      <c r="B15" t="s">
        <v>54</v>
      </c>
      <c r="C15">
        <v>1952</v>
      </c>
      <c r="D15" t="s">
        <v>55</v>
      </c>
      <c r="E15" t="s">
        <v>56</v>
      </c>
      <c r="G15" t="s">
        <v>57</v>
      </c>
      <c r="H15" s="1" t="str">
        <f>_xlfn.TEXTJOIN(CHAR(10),FALSE, _xlfn.TEXTSPLIT(Table_textAnnotations[[#This Row],[Anno_Text]], "ABSATZ"))</f>
        <v>Die Carcinome der Vulva haben am häufigsten ihren Sitz an den klima Labien, an der Clitoris, an der Urethra und an den großen Labien.</v>
      </c>
      <c r="I15" s="1" t="s">
        <v>57</v>
      </c>
      <c r="J15" s="2" t="b">
        <v>0</v>
      </c>
      <c r="L15" t="str">
        <f>_xlfn.TEXTJOIN("_",TRUE,Table_textAnnotations[[#This Row],[Buch_Key]],Table_textAnnotations[[#This Row],[Anno_Key]],IF(ISBLANK(Table_textAnnotations[[#This Row],[Anno_Page_manuell]]),Table_textAnnotations[[#This Row],[Anno_Page_Auto]],Table_textAnnotations[[#This Row],[Anno_Page_manuell]]))&amp; ".txt"</f>
        <v>BUWRS4EI_GS759ILG_60.txt</v>
      </c>
    </row>
    <row r="16" spans="1:12" ht="30" x14ac:dyDescent="0.25">
      <c r="A16" t="s">
        <v>53</v>
      </c>
      <c r="B16" t="s">
        <v>54</v>
      </c>
      <c r="C16">
        <v>1952</v>
      </c>
      <c r="D16" t="s">
        <v>58</v>
      </c>
      <c r="E16" t="s">
        <v>59</v>
      </c>
      <c r="G16" t="s">
        <v>60</v>
      </c>
      <c r="H16" s="1" t="str">
        <f>_xlfn.TEXTJOIN(CHAR(10),FALSE, _xlfn.TEXTSPLIT(Table_textAnnotations[[#This Row],[Anno_Text]], "ABSATZ"))</f>
        <v>[Kontext: Radikaloperation des Vulvacarzinoms] Die Operation kann sehr blutreich sein im Bereich der Corpora cavernosa der Clitoris und beim Abtragen der Corpora cavernosa des Vestibulums.</v>
      </c>
      <c r="I16" s="1" t="s">
        <v>60</v>
      </c>
      <c r="J16" s="2" t="b">
        <v>0</v>
      </c>
      <c r="L16" t="str">
        <f>_xlfn.TEXTJOIN("_",TRUE,Table_textAnnotations[[#This Row],[Buch_Key]],Table_textAnnotations[[#This Row],[Anno_Key]],IF(ISBLANK(Table_textAnnotations[[#This Row],[Anno_Page_manuell]]),Table_textAnnotations[[#This Row],[Anno_Page_Auto]],Table_textAnnotations[[#This Row],[Anno_Page_manuell]]))&amp; ".txt"</f>
        <v>BUWRS4EI_NR8RVX53_61.txt</v>
      </c>
    </row>
    <row r="17" spans="1:12" ht="60" x14ac:dyDescent="0.25">
      <c r="A17" t="s">
        <v>53</v>
      </c>
      <c r="B17" t="s">
        <v>54</v>
      </c>
      <c r="C17">
        <v>1952</v>
      </c>
      <c r="D17" t="s">
        <v>61</v>
      </c>
      <c r="E17" t="s">
        <v>59</v>
      </c>
      <c r="G17" t="s">
        <v>62</v>
      </c>
      <c r="H17" s="1" t="str">
        <f>_xlfn.TEXTJOIN(CHAR(10),FALSE, _xlfn.TEXTSPLIT(Table_textAnnotations[[#This Row],[Anno_Text]], "ABSATZ"))</f>
        <v>Auch völlig inoperable, größere, jauchende Vulvacarcinome erfordern einen Eingriff, wenn es sich auch nur um eine rein palliative Operation handeln  kann. Die Tumoren werden nach den Vorschriften von v. SEEMEN mit dem  Thermoflux abgetragen oder wenigstens verschorft, weit im Gesunden. Womöglich werden auch die großen und kleinen Labien der erkrankten Seite abgetragen. Die Clitoris wird unter möglichster Schonung der Urethra nach Einführung eines Katheters entfernt.</v>
      </c>
      <c r="I17" s="1" t="s">
        <v>62</v>
      </c>
      <c r="J17" s="2" t="b">
        <v>0</v>
      </c>
      <c r="L17" t="str">
        <f>_xlfn.TEXTJOIN("_",TRUE,Table_textAnnotations[[#This Row],[Buch_Key]],Table_textAnnotations[[#This Row],[Anno_Key]],IF(ISBLANK(Table_textAnnotations[[#This Row],[Anno_Page_manuell]]),Table_textAnnotations[[#This Row],[Anno_Page_Auto]],Table_textAnnotations[[#This Row],[Anno_Page_manuell]]))&amp; ".txt"</f>
        <v>BUWRS4EI_HZLP3PFB_61.txt</v>
      </c>
    </row>
    <row r="18" spans="1:12" ht="30" x14ac:dyDescent="0.25">
      <c r="A18" t="s">
        <v>53</v>
      </c>
      <c r="B18" t="s">
        <v>54</v>
      </c>
      <c r="C18">
        <v>1952</v>
      </c>
      <c r="D18" t="s">
        <v>63</v>
      </c>
      <c r="E18" t="s">
        <v>64</v>
      </c>
      <c r="G18" t="s">
        <v>65</v>
      </c>
      <c r="H18" s="1" t="str">
        <f>_xlfn.TEXTJOIN(CHAR(10),FALSE, _xlfn.TEXTSPLIT(Table_textAnnotations[[#This Row],[Anno_Text]], "ABSATZ"))</f>
        <v>[Kontext: Vordere Scheidenplastik] Im Bereich des Bulbus der Urethra wird die Harnblase und die erweiterte Urethra am wenigsten von der Scheidenschleimhaut abgelöst, in der Mitte, dem Hauptteil der Cystocele, am meisten, und unten an der Portio wieder weniger.</v>
      </c>
      <c r="I18" s="1" t="s">
        <v>65</v>
      </c>
      <c r="J18" s="2" t="b">
        <v>0</v>
      </c>
      <c r="L18" t="str">
        <f>_xlfn.TEXTJOIN("_",TRUE,Table_textAnnotations[[#This Row],[Buch_Key]],Table_textAnnotations[[#This Row],[Anno_Key]],IF(ISBLANK(Table_textAnnotations[[#This Row],[Anno_Page_manuell]]),Table_textAnnotations[[#This Row],[Anno_Page_Auto]],Table_textAnnotations[[#This Row],[Anno_Page_manuell]]))&amp; ".txt"</f>
        <v>BUWRS4EI_3HPFJFZN_65.txt</v>
      </c>
    </row>
    <row r="19" spans="1:12" ht="30" x14ac:dyDescent="0.25">
      <c r="A19" t="s">
        <v>53</v>
      </c>
      <c r="B19" t="s">
        <v>54</v>
      </c>
      <c r="C19">
        <v>1952</v>
      </c>
      <c r="D19" t="s">
        <v>66</v>
      </c>
      <c r="E19" t="s">
        <v>64</v>
      </c>
      <c r="G19" t="s">
        <v>67</v>
      </c>
      <c r="H19" s="1" t="str">
        <f>_xlfn.TEXTJOIN(CHAR(10),FALSE, _xlfn.TEXTSPLIT(Table_textAnnotations[[#This Row],[Anno_Text]], "ABSATZ"))</f>
        <v>[Kontext: Vordere Scheidenplastik] Nach der Versenkung der Harnblase zeigt sich oft, daß auch der Bulbus der Urethra vorgewölbt ist. Dieser wird mit feinsten Knopfnähten gerafft, möglichst mit Darmnadeln.</v>
      </c>
      <c r="I19" s="1" t="s">
        <v>67</v>
      </c>
      <c r="J19" s="2" t="b">
        <v>0</v>
      </c>
      <c r="L19" t="str">
        <f>_xlfn.TEXTJOIN("_",TRUE,Table_textAnnotations[[#This Row],[Buch_Key]],Table_textAnnotations[[#This Row],[Anno_Key]],IF(ISBLANK(Table_textAnnotations[[#This Row],[Anno_Page_manuell]]),Table_textAnnotations[[#This Row],[Anno_Page_Auto]],Table_textAnnotations[[#This Row],[Anno_Page_manuell]]))&amp; ".txt"</f>
        <v>BUWRS4EI_YB6R6S7I_65.txt</v>
      </c>
    </row>
    <row r="20" spans="1:12" ht="45" x14ac:dyDescent="0.25">
      <c r="A20" t="s">
        <v>53</v>
      </c>
      <c r="B20" t="s">
        <v>54</v>
      </c>
      <c r="C20">
        <v>1952</v>
      </c>
      <c r="D20" t="s">
        <v>68</v>
      </c>
      <c r="E20" t="s">
        <v>64</v>
      </c>
      <c r="G20" t="s">
        <v>69</v>
      </c>
      <c r="H20" s="1" t="str">
        <f>_xlfn.TEXTJOIN(CHAR(10),FALSE, _xlfn.TEXTSPLIT(Table_textAnnotations[[#This Row],[Anno_Text]], "ABSATZ"))</f>
        <v>[Kontext: Vordere Scheidenplastik] Man hat dabei zu berücksichtigen, daß der Bulbus der Urethra bei größeren Cystocelen oft überdehnt ist, so daß gleichzeitig eine Urethrocele und Cystocele besteht. Man wird nach Möglichkeit nur das Bindegewebe und den Muskel raffen und dadurch die Vorwölbung der Harnröhre einstülpen und zurückhalten.</v>
      </c>
      <c r="I20" s="1" t="s">
        <v>69</v>
      </c>
      <c r="J20" s="2" t="b">
        <v>0</v>
      </c>
      <c r="L20" t="str">
        <f>_xlfn.TEXTJOIN("_",TRUE,Table_textAnnotations[[#This Row],[Buch_Key]],Table_textAnnotations[[#This Row],[Anno_Key]],IF(ISBLANK(Table_textAnnotations[[#This Row],[Anno_Page_manuell]]),Table_textAnnotations[[#This Row],[Anno_Page_Auto]],Table_textAnnotations[[#This Row],[Anno_Page_manuell]]))&amp; ".txt"</f>
        <v>BUWRS4EI_RMDEGUNT_65.txt</v>
      </c>
    </row>
    <row r="21" spans="1:12" ht="60" x14ac:dyDescent="0.25">
      <c r="A21" t="s">
        <v>70</v>
      </c>
      <c r="B21" t="s">
        <v>71</v>
      </c>
      <c r="C21">
        <v>1953</v>
      </c>
      <c r="D21" t="s">
        <v>72</v>
      </c>
      <c r="E21" t="s">
        <v>73</v>
      </c>
      <c r="G21" t="s">
        <v>74</v>
      </c>
      <c r="H21" s="1" t="str">
        <f>_xlfn.TEXTJOIN(CHAR(10),FALSE, _xlfn.TEXTSPLIT(Table_textAnnotations[[#This Row],[Anno_Text]], "ABSATZ"))</f>
        <v>Der äussere Teil der weiblichen Fortpflanzungsorgane wird in seiner Gesamtheit als Vulva oder Scham bezeichnet. Das ist ein ziemlich komplizierter Mechanismus, der wie Abb. 2 zeigt aus mehreren Teilen besteht, welche Labia majora (Grosse Schamlippen), Labia minora (Kleine Schamlippen), Mons Veneris (Schamberg), Clitoris (Kitzler), Perineum (Damm) und Vestibulum vaginae (Scheideneingang) genannt werden.</v>
      </c>
      <c r="I21" s="1" t="s">
        <v>74</v>
      </c>
      <c r="J21" s="2" t="b">
        <v>1</v>
      </c>
      <c r="L21" t="str">
        <f>_xlfn.TEXTJOIN("_",TRUE,Table_textAnnotations[[#This Row],[Buch_Key]],Table_textAnnotations[[#This Row],[Anno_Key]],IF(ISBLANK(Table_textAnnotations[[#This Row],[Anno_Page_manuell]]),Table_textAnnotations[[#This Row],[Anno_Page_Auto]],Table_textAnnotations[[#This Row],[Anno_Page_manuell]]))&amp; ".txt"</f>
        <v>4XIVZXJI_KEIENVR9_18,20.txt</v>
      </c>
    </row>
    <row r="22" spans="1:12" ht="75" x14ac:dyDescent="0.25">
      <c r="A22" t="s">
        <v>70</v>
      </c>
      <c r="B22" t="s">
        <v>71</v>
      </c>
      <c r="C22">
        <v>1953</v>
      </c>
      <c r="D22" t="s">
        <v>75</v>
      </c>
      <c r="E22" t="s">
        <v>76</v>
      </c>
      <c r="G22" t="s">
        <v>77</v>
      </c>
      <c r="H22" s="1" t="str">
        <f>_xlfn.TEXTJOIN(CHAR(10),FALSE, _xlfn.TEXTSPLIT(Table_textAnnotations[[#This Row],[Anno_Text]], "ABSATZ"))</f>
        <v>Knapp oberhalb des Scheideneingangs befindet sich ein kleiner Vorsprung, der Clitoris oder Kitzler heisst und in gewisser Beziehung dem Penis oder Glied des Mannes entspricht beim Embryo dienen dieselben Zellen zum Aufbau des Penis bei einem Knaben, der Clitoris bei einem Mädchen. Gewöhnlich ist nur die Spitze der Clitoris sichtbar; die übrigen Teile des Organs sind im Gewebe der Vulva eingebettet. Es ist reichlich mit sehr empfindlichen Nervenenden versehen und ist für die Frau eine wichtige, obzwar nicht unbedingt die wichtigste Quelle erotischer Befriedigung. Knapp unterhalb der Clitoris liegt die Urethra oder Harnröhre, die den Harn aus der Blase nach aussen leitet</v>
      </c>
      <c r="I22" s="1" t="s">
        <v>77</v>
      </c>
      <c r="J22" s="2" t="b">
        <v>1</v>
      </c>
      <c r="L22" t="str">
        <f>_xlfn.TEXTJOIN("_",TRUE,Table_textAnnotations[[#This Row],[Buch_Key]],Table_textAnnotations[[#This Row],[Anno_Key]],IF(ISBLANK(Table_textAnnotations[[#This Row],[Anno_Page_manuell]]),Table_textAnnotations[[#This Row],[Anno_Page_Auto]],Table_textAnnotations[[#This Row],[Anno_Page_manuell]]))&amp; ".txt"</f>
        <v>4XIVZXJI_MR7IKRNH_20f.txt</v>
      </c>
    </row>
    <row r="23" spans="1:12" ht="45" x14ac:dyDescent="0.25">
      <c r="A23" t="s">
        <v>78</v>
      </c>
      <c r="B23" t="s">
        <v>79</v>
      </c>
      <c r="C23">
        <v>1954</v>
      </c>
      <c r="D23" t="s">
        <v>80</v>
      </c>
      <c r="E23" t="s">
        <v>81</v>
      </c>
      <c r="G23" t="s">
        <v>82</v>
      </c>
      <c r="H23" s="1" t="str">
        <f>_xlfn.TEXTJOIN(CHAR(10),FALSE, _xlfn.TEXTSPLIT(Table_textAnnotations[[#This Row],[Anno_Text]], "ABSATZ"))</f>
        <v>Der Kitzler (Clitoris) entspricht einem kleinen männlichen Glied. Die Schleimhaut der Glans clitoridis stammt vom Vestibulum vaginae; sie ist überaus reich an sensiblen Endkörperchen (siehe Sinnesorgane) und freien sensiblen Nervenfasern, die in dem mehrschichtigen Plattenepithel enden.</v>
      </c>
      <c r="I23" s="1" t="s">
        <v>82</v>
      </c>
      <c r="J23" s="2" t="b">
        <v>1</v>
      </c>
      <c r="L23" t="str">
        <f>_xlfn.TEXTJOIN("_",TRUE,Table_textAnnotations[[#This Row],[Buch_Key]],Table_textAnnotations[[#This Row],[Anno_Key]],IF(ISBLANK(Table_textAnnotations[[#This Row],[Anno_Page_manuell]]),Table_textAnnotations[[#This Row],[Anno_Page_Auto]],Table_textAnnotations[[#This Row],[Anno_Page_manuell]]))&amp; ".txt"</f>
        <v>94KAMWSC_98JTFVUC_91.txt</v>
      </c>
    </row>
    <row r="24" spans="1:12" ht="105" x14ac:dyDescent="0.25">
      <c r="A24" t="s">
        <v>83</v>
      </c>
      <c r="B24" t="s">
        <v>84</v>
      </c>
      <c r="C24">
        <v>1955</v>
      </c>
      <c r="D24" t="s">
        <v>85</v>
      </c>
      <c r="E24" t="s">
        <v>86</v>
      </c>
      <c r="G24" t="s">
        <v>87</v>
      </c>
      <c r="H24" s="1" t="str">
        <f>_xlfn.TEXTJOIN(CHAR(10),FALSE, _xlfn.TEXTSPLIT(Table_textAnnotations[[#This Row],[Anno_Text]], "ABSATZ"))</f>
        <v>Die viriloïde Intersexualität der Frau im Klimakterium. Sie tritt so häufig auf, daß sie als physiologisch betrachtet werden kann, solange sie diskret bleibt. Das verbreitetste Anzeichen dafür ist das Sprießen von Haaren im Gesicht und am Körper; die Stimme wird tiefer. Zudem prädisponiert das Klimakterium zu Neurosen und vorübergehenden Psychosen. Oft tritt eine Steigerung der sexuellen Libido ein, die sich in normalen Grenzen hält, aber auch zur Erotomanie werden kann. «Helene Deutsch behauptet, mehrfach nach dem Klimakterium eine Rückbildung der sexuellen Erregbarkeit von der Scheide bis zum Kitzler beobachtet zu haben 2.»
[Fußnote:] 2 Marie Bonaparte: «La sexualité de la femme ». Presses universitaires de France. S. 15.</v>
      </c>
      <c r="I24" s="1" t="s">
        <v>1354</v>
      </c>
      <c r="J24" s="2" t="b">
        <v>1</v>
      </c>
      <c r="L24" t="str">
        <f>_xlfn.TEXTJOIN("_",TRUE,Table_textAnnotations[[#This Row],[Buch_Key]],Table_textAnnotations[[#This Row],[Anno_Key]],IF(ISBLANK(Table_textAnnotations[[#This Row],[Anno_Page_manuell]]),Table_textAnnotations[[#This Row],[Anno_Page_Auto]],Table_textAnnotations[[#This Row],[Anno_Page_manuell]]))&amp; ".txt"</f>
        <v>STZBFWG5_73ZIRMK4_19.txt</v>
      </c>
    </row>
    <row r="25" spans="1:12" ht="45" x14ac:dyDescent="0.25">
      <c r="A25" t="s">
        <v>83</v>
      </c>
      <c r="B25" t="s">
        <v>84</v>
      </c>
      <c r="C25">
        <v>1955</v>
      </c>
      <c r="D25" t="s">
        <v>88</v>
      </c>
      <c r="E25" t="s">
        <v>89</v>
      </c>
      <c r="G25" t="s">
        <v>90</v>
      </c>
      <c r="H25" s="1" t="str">
        <f>_xlfn.TEXTJOIN(CHAR(10),FALSE, _xlfn.TEXTSPLIT(Table_textAnnotations[[#This Row],[Anno_Text]], "ABSATZ"))</f>
        <v>Beim weiblichen Geschlecht ist die Onanie weniger verbreitet  und auch nicht von den gleichen Konsequenzen in affektiver  und ethischer Hinsicht begleitet. Übrigens beschränkt sie sich  häufig auf eine lustbetonte Reizung von Klitoris und Scheideneingang bei bestimmten körperlichen Übungen, wie etwa Tanzen, Reiten oder Radfahren.</v>
      </c>
      <c r="I25" s="1" t="s">
        <v>90</v>
      </c>
      <c r="J25" s="2" t="b">
        <v>1</v>
      </c>
      <c r="L25" t="str">
        <f>_xlfn.TEXTJOIN("_",TRUE,Table_textAnnotations[[#This Row],[Buch_Key]],Table_textAnnotations[[#This Row],[Anno_Key]],IF(ISBLANK(Table_textAnnotations[[#This Row],[Anno_Page_manuell]]),Table_textAnnotations[[#This Row],[Anno_Page_Auto]],Table_textAnnotations[[#This Row],[Anno_Page_manuell]]))&amp; ".txt"</f>
        <v>STZBFWG5_XABKDI4R_54.txt</v>
      </c>
    </row>
    <row r="26" spans="1:12" ht="75" x14ac:dyDescent="0.25">
      <c r="A26" t="s">
        <v>83</v>
      </c>
      <c r="B26" t="s">
        <v>84</v>
      </c>
      <c r="C26">
        <v>1955</v>
      </c>
      <c r="D26" t="s">
        <v>91</v>
      </c>
      <c r="E26" t="s">
        <v>92</v>
      </c>
      <c r="G26" t="s">
        <v>93</v>
      </c>
      <c r="H26" s="1" t="str">
        <f>_xlfn.TEXTJOIN(CHAR(10),FALSE, _xlfn.TEXTSPLIT(Table_textAnnotations[[#This Row],[Anno_Text]], "ABSATZ"))</f>
        <v>Zu allen seelischen Schwierigkeiten der Frau tritt  noch eine anatomische Eigentümlichkeit hinzu. Bei vielen  Frauen ist die erogene Zone, deren Reizung Lustempfindungen  auslöst und schließlich zum Orgasmus führt, auf die Klitoris  konzentriert. Erst nach und nach dehnt sie sich auf die Vagina  aus, und manchen Frauen bleibt der Vaginal-Spasmus ebenso  unbekannt wie das Wollustgefühl, das die Berührung der Eichel  mit der Portio vaginalis - den in die Scheide hineinragenden  Teil des Gebärmutterhalses hervorruft; die Reizzone bleibt  bei ihnen vielmehr auf Klitoris und Scheideneingang beschränkt.</v>
      </c>
      <c r="I26" s="1" t="s">
        <v>93</v>
      </c>
      <c r="J26" s="2" t="b">
        <v>1</v>
      </c>
      <c r="L26" t="str">
        <f>_xlfn.TEXTJOIN("_",TRUE,Table_textAnnotations[[#This Row],[Buch_Key]],Table_textAnnotations[[#This Row],[Anno_Key]],IF(ISBLANK(Table_textAnnotations[[#This Row],[Anno_Page_manuell]]),Table_textAnnotations[[#This Row],[Anno_Page_Auto]],Table_textAnnotations[[#This Row],[Anno_Page_manuell]]))&amp; ".txt"</f>
        <v>STZBFWG5_UGP4Z3NV_74.txt</v>
      </c>
    </row>
    <row r="27" spans="1:12" ht="60" x14ac:dyDescent="0.25">
      <c r="A27" t="s">
        <v>83</v>
      </c>
      <c r="B27" t="s">
        <v>84</v>
      </c>
      <c r="C27">
        <v>1955</v>
      </c>
      <c r="D27" t="s">
        <v>94</v>
      </c>
      <c r="E27" t="s">
        <v>95</v>
      </c>
      <c r="G27" t="s">
        <v>96</v>
      </c>
      <c r="H27" s="1" t="str">
        <f>_xlfn.TEXTJOIN(CHAR(10),FALSE, _xlfn.TEXTSPLIT(Table_textAnnotations[[#This Row],[Anno_Text]], "ABSATZ"))</f>
        <v>Die Harnröhre der Frau ist bedeutend kürzer und weiter; vor  und über ihrer Einmündung in den Scheidenvorhof liegt die  eichelförmige Klitoris, auch Kitzler genannt. Dieses Organ, das  embryologische Gegenstück zum männlichen Glied, ist gleich  diesem in starkem Maße für lustauslösende Reize empfänglich  und ebenfalls im Innern mit Schwellgewebe durchsetzt, das sich  bei sexueller Erregung mit Blut füllt und die Klitoris anschwellen läßt, so daß sie sich vergrößert und versteift.</v>
      </c>
      <c r="I27" s="1" t="s">
        <v>96</v>
      </c>
      <c r="J27" s="2" t="b">
        <v>1</v>
      </c>
      <c r="L27" t="str">
        <f>_xlfn.TEXTJOIN("_",TRUE,Table_textAnnotations[[#This Row],[Buch_Key]],Table_textAnnotations[[#This Row],[Anno_Key]],IF(ISBLANK(Table_textAnnotations[[#This Row],[Anno_Page_manuell]]),Table_textAnnotations[[#This Row],[Anno_Page_Auto]],Table_textAnnotations[[#This Row],[Anno_Page_manuell]]))&amp; ".txt"</f>
        <v>STZBFWG5_XVJ8FJ7N_77.txt</v>
      </c>
    </row>
    <row r="28" spans="1:12" ht="60" x14ac:dyDescent="0.25">
      <c r="A28" t="s">
        <v>83</v>
      </c>
      <c r="B28" t="s">
        <v>84</v>
      </c>
      <c r="C28">
        <v>1955</v>
      </c>
      <c r="D28" t="s">
        <v>97</v>
      </c>
      <c r="E28" t="s">
        <v>98</v>
      </c>
      <c r="G28" t="s">
        <v>99</v>
      </c>
      <c r="H28" s="1" t="str">
        <f>_xlfn.TEXTJOIN(CHAR(10),FALSE, _xlfn.TEXTSPLIT(Table_textAnnotations[[#This Row],[Anno_Text]], "ABSATZ"))</f>
        <v>Welche  Stellung auch eingenommen wird, immer erhöhen rythmische  Bewegungen die Wollust, die, vom Glied und von der Klitoris  ausgehend, bald in den ganzen Körper ausgestrahlt wird und  mit dem Orgasmus endet, der beim Mann die Ejakulation auslöst, bei der Frau den Spasmus der Scheidenmuskulatur und der  im Scheideneingang liegenden Drüsen, deren schleimige Absonderung schon zu Beginn der Vereinigung die Einführung  des Gliedes erleichtert hat.</v>
      </c>
      <c r="I28" s="1" t="s">
        <v>99</v>
      </c>
      <c r="J28" s="2" t="b">
        <v>1</v>
      </c>
      <c r="L28" t="str">
        <f>_xlfn.TEXTJOIN("_",TRUE,Table_textAnnotations[[#This Row],[Buch_Key]],Table_textAnnotations[[#This Row],[Anno_Key]],IF(ISBLANK(Table_textAnnotations[[#This Row],[Anno_Page_manuell]]),Table_textAnnotations[[#This Row],[Anno_Page_Auto]],Table_textAnnotations[[#This Row],[Anno_Page_manuell]]))&amp; ".txt"</f>
        <v>STZBFWG5_XF6J43CW_78.txt</v>
      </c>
    </row>
    <row r="29" spans="1:12" ht="45" x14ac:dyDescent="0.25">
      <c r="A29" t="s">
        <v>83</v>
      </c>
      <c r="B29" t="s">
        <v>84</v>
      </c>
      <c r="C29">
        <v>1955</v>
      </c>
      <c r="D29" t="s">
        <v>100</v>
      </c>
      <c r="E29" t="s">
        <v>101</v>
      </c>
      <c r="G29" t="s">
        <v>102</v>
      </c>
      <c r="H29" s="1" t="str">
        <f>_xlfn.TEXTJOIN(CHAR(10),FALSE, _xlfn.TEXTSPLIT(Table_textAnnotations[[#This Row],[Anno_Text]], "ABSATZ"))</f>
        <v>Erogene Zonen gibt es viele. Bei der Frau sind auf jeden Fall  Klitoris, Vulva, Vagina, der Muttermund manchmal, und die  Brüste reizempfindlich, wobei die Brustwarzen sich sogar versteifen können, beim Mann in erster Linie das Vorhautbändchen, der Hodensack, die Umgebung des Afters.</v>
      </c>
      <c r="I29" s="1" t="s">
        <v>102</v>
      </c>
      <c r="J29" s="2" t="b">
        <v>1</v>
      </c>
      <c r="L29" t="str">
        <f>_xlfn.TEXTJOIN("_",TRUE,Table_textAnnotations[[#This Row],[Buch_Key]],Table_textAnnotations[[#This Row],[Anno_Key]],IF(ISBLANK(Table_textAnnotations[[#This Row],[Anno_Page_manuell]]),Table_textAnnotations[[#This Row],[Anno_Page_Auto]],Table_textAnnotations[[#This Row],[Anno_Page_manuell]]))&amp; ".txt"</f>
        <v>STZBFWG5_3AAG97NG_79.txt</v>
      </c>
    </row>
    <row r="30" spans="1:12" ht="75" x14ac:dyDescent="0.25">
      <c r="A30" t="s">
        <v>83</v>
      </c>
      <c r="B30" t="s">
        <v>84</v>
      </c>
      <c r="C30">
        <v>1955</v>
      </c>
      <c r="D30" t="s">
        <v>103</v>
      </c>
      <c r="E30" t="s">
        <v>104</v>
      </c>
      <c r="G30" t="s">
        <v>105</v>
      </c>
      <c r="H30" s="1" t="str">
        <f>_xlfn.TEXTJOIN(CHAR(10),FALSE, _xlfn.TEXTSPLIT(Table_textAnnotations[[#This Row],[Anno_Text]], "ABSATZ"))</f>
        <v>Die  körperlichen Reaktionen der Frau im Augenblick des Geschlechtsaktes weisen hingegen mehr Ähnlichkeit mit denen des  Mannes auf, als es zunächst scheint. Zu einer «Abschwellung&gt;&gt;  nach jenem dem Mann eigentümlichen Impuls, der ihn dazu  antreibt, den ausgelösten Reflex durch die Ejakulation zu beenden, kommt es zwar nicht, doch im übrigen sind auffallende  Ähnlichkeiten vorhanden: Erektion der Klitoris, die wie das  Glied anschwillt, der Hauptsitz der sexuellen Lustempfindungen; Absonderung eines schlüpfrigmachenden Schleims durch  die Bartholinischen Drüsen; schließlich der Orgasmus, der, wenn  er auftritt, nicht weniger intensiv ist als beim Mann.</v>
      </c>
      <c r="I30" s="1" t="s">
        <v>1401</v>
      </c>
      <c r="J30" s="2" t="b">
        <v>1</v>
      </c>
      <c r="L30" t="str">
        <f>_xlfn.TEXTJOIN("_",TRUE,Table_textAnnotations[[#This Row],[Buch_Key]],Table_textAnnotations[[#This Row],[Anno_Key]],IF(ISBLANK(Table_textAnnotations[[#This Row],[Anno_Page_manuell]]),Table_textAnnotations[[#This Row],[Anno_Page_Auto]],Table_textAnnotations[[#This Row],[Anno_Page_manuell]]))&amp; ".txt"</f>
        <v>STZBFWG5_7PU6N5NC_81.txt</v>
      </c>
    </row>
    <row r="31" spans="1:12" ht="30" x14ac:dyDescent="0.25">
      <c r="A31" t="s">
        <v>83</v>
      </c>
      <c r="B31" t="s">
        <v>84</v>
      </c>
      <c r="C31">
        <v>1955</v>
      </c>
      <c r="D31" t="s">
        <v>106</v>
      </c>
      <c r="E31" t="s">
        <v>107</v>
      </c>
      <c r="G31" t="s">
        <v>108</v>
      </c>
      <c r="H31" s="1" t="str">
        <f>_xlfn.TEXTJOIN(CHAR(10),FALSE, _xlfn.TEXTSPLIT(Table_textAnnotations[[#This Row],[Anno_Text]], "ABSATZ"))</f>
        <v>Indessen ist der Schätzung nach bei nahezu der  Hälfte aller Frauen nur die Klitoris reizempfänglich, so daß bei  ihnen Orgasmus und Wollust nur durch diese erogene Zone  ausgelöst werden.</v>
      </c>
      <c r="I31" s="1" t="s">
        <v>108</v>
      </c>
      <c r="J31" s="2" t="b">
        <v>1</v>
      </c>
      <c r="L31" t="str">
        <f>_xlfn.TEXTJOIN("_",TRUE,Table_textAnnotations[[#This Row],[Buch_Key]],Table_textAnnotations[[#This Row],[Anno_Key]],IF(ISBLANK(Table_textAnnotations[[#This Row],[Anno_Page_manuell]]),Table_textAnnotations[[#This Row],[Anno_Page_Auto]],Table_textAnnotations[[#This Row],[Anno_Page_manuell]]))&amp; ".txt"</f>
        <v>STZBFWG5_R62RQDDJ_82.txt</v>
      </c>
    </row>
    <row r="32" spans="1:12" ht="45" x14ac:dyDescent="0.25">
      <c r="A32" t="s">
        <v>83</v>
      </c>
      <c r="B32" t="s">
        <v>84</v>
      </c>
      <c r="C32">
        <v>1955</v>
      </c>
      <c r="D32" t="s">
        <v>109</v>
      </c>
      <c r="E32" t="s">
        <v>110</v>
      </c>
      <c r="G32" t="s">
        <v>111</v>
      </c>
      <c r="H32" s="1" t="str">
        <f>_xlfn.TEXTJOIN(CHAR(10),FALSE, _xlfn.TEXTSPLIT(Table_textAnnotations[[#This Row],[Anno_Text]], "ABSATZ"))</f>
        <v>Hermaphroditismus (Zwittertum): In sehr seltenen Fällen  kann man beobachten, daß sich parallel zweigeschlechtliche  anatomische Anlagen entwickeln. So gibt es Frauen mit übertrieben großer Klitoris (Kitzler), Männer mit stark entwickelten Brüsten, Frauen mit Bart usw. Derartige Abarten und  Mißbildungen wurden früher auf den Jahrmärkten zur Schau  gestellt.</v>
      </c>
      <c r="I32" s="1" t="s">
        <v>111</v>
      </c>
      <c r="J32" s="2" t="b">
        <v>1</v>
      </c>
      <c r="K32" t="s">
        <v>1320</v>
      </c>
      <c r="L32" t="str">
        <f>_xlfn.TEXTJOIN("_",TRUE,Table_textAnnotations[[#This Row],[Buch_Key]],Table_textAnnotations[[#This Row],[Anno_Key]],IF(ISBLANK(Table_textAnnotations[[#This Row],[Anno_Page_manuell]]),Table_textAnnotations[[#This Row],[Anno_Page_Auto]],Table_textAnnotations[[#This Row],[Anno_Page_manuell]]))&amp; ".txt"</f>
        <v>STZBFWG5_PCVAAGBZ_343.txt</v>
      </c>
    </row>
    <row r="33" spans="1:12" ht="30" x14ac:dyDescent="0.25">
      <c r="A33" t="s">
        <v>112</v>
      </c>
      <c r="B33" t="s">
        <v>113</v>
      </c>
      <c r="C33">
        <v>1956</v>
      </c>
      <c r="D33" t="s">
        <v>114</v>
      </c>
      <c r="E33" t="s">
        <v>115</v>
      </c>
      <c r="G33" t="s">
        <v>116</v>
      </c>
      <c r="H33" s="1" t="str">
        <f>_xlfn.TEXTJOIN(CHAR(10),FALSE, _xlfn.TEXTSPLIT(Table_textAnnotations[[#This Row],[Anno_Text]], "ABSATZ"))</f>
        <v>A. Die äußeren Geschlechsorgane der Frau  Die großen Schamlippen (Labium majus pudendi).  Die kleinen Schamlippen (Labium minus pudendi).  Die Bartholinischen Drüsen.  Der Kitzler (Klitoris).  Der Scheidenvorhof (Vestibulum vaginae).</v>
      </c>
      <c r="I33" s="1" t="s">
        <v>116</v>
      </c>
      <c r="J33" s="2" t="b">
        <v>1</v>
      </c>
      <c r="L33" t="str">
        <f>_xlfn.TEXTJOIN("_",TRUE,Table_textAnnotations[[#This Row],[Buch_Key]],Table_textAnnotations[[#This Row],[Anno_Key]],IF(ISBLANK(Table_textAnnotations[[#This Row],[Anno_Page_manuell]]),Table_textAnnotations[[#This Row],[Anno_Page_Auto]],Table_textAnnotations[[#This Row],[Anno_Page_manuell]]))&amp; ".txt"</f>
        <v>XBFWK4A8_9PEZDFPF_135.txt</v>
      </c>
    </row>
    <row r="34" spans="1:12" ht="60" x14ac:dyDescent="0.25">
      <c r="A34" t="s">
        <v>112</v>
      </c>
      <c r="B34" t="s">
        <v>113</v>
      </c>
      <c r="C34">
        <v>1956</v>
      </c>
      <c r="D34" t="s">
        <v>117</v>
      </c>
      <c r="E34" t="s">
        <v>118</v>
      </c>
      <c r="G34" t="s">
        <v>119</v>
      </c>
      <c r="H34" s="1" t="str">
        <f>_xlfn.TEXTJOIN(CHAR(10),FALSE, _xlfn.TEXTSPLIT(Table_textAnnotations[[#This Row],[Anno_Text]], "ABSATZ"))</f>
        <v>Die großen Schamlippen stellen zwei dicke Hautfalten dar, die aus der Symphysengegend (Mons pubis) in sagittaler Richtung nach dorsal verlaufen. Sie umschlieBen einen spaltförmigen Raum, in dem vorn der Kitzler (Clitoris) liegt. Der Kitzler besteht aus Schwellkörpergewebe. Aus der Clitorisgegend kommen zwei kleinere Hautfalten, die kleinen Schamlippen, die, ähnlich wie die großen, einen Raum  umgrenzen, den Scheidenvorhof.</v>
      </c>
      <c r="I34" s="1" t="s">
        <v>119</v>
      </c>
      <c r="J34" s="2" t="b">
        <v>1</v>
      </c>
      <c r="L34" t="str">
        <f>_xlfn.TEXTJOIN("_",TRUE,Table_textAnnotations[[#This Row],[Buch_Key]],Table_textAnnotations[[#This Row],[Anno_Key]],IF(ISBLANK(Table_textAnnotations[[#This Row],[Anno_Page_manuell]]),Table_textAnnotations[[#This Row],[Anno_Page_Auto]],Table_textAnnotations[[#This Row],[Anno_Page_manuell]]))&amp; ".txt"</f>
        <v>XBFWK4A8_Q2IQPSMZ_136.txt</v>
      </c>
    </row>
    <row r="35" spans="1:12" ht="30" x14ac:dyDescent="0.25">
      <c r="A35" t="s">
        <v>120</v>
      </c>
      <c r="B35" t="s">
        <v>121</v>
      </c>
      <c r="C35">
        <v>1957</v>
      </c>
      <c r="D35" t="s">
        <v>122</v>
      </c>
      <c r="E35" t="s">
        <v>123</v>
      </c>
      <c r="G35" t="s">
        <v>124</v>
      </c>
      <c r="H35" s="1" t="str">
        <f>_xlfn.TEXTJOIN(CHAR(10),FALSE, _xlfn.TEXTSPLIT(Table_textAnnotations[[#This Row],[Anno_Text]], "ABSATZ"))</f>
        <v>Zwischen den beiden Schamlippenpaaren findet sich ein Reizorgan, das während der Erregung anschwillt und für deren Steigerung von Bedeutung ist: die sogenannte Klitoris; dort mündet auch die Harnröhre.</v>
      </c>
      <c r="I35" s="1" t="s">
        <v>124</v>
      </c>
      <c r="J35" s="2" t="b">
        <v>1</v>
      </c>
      <c r="L35" t="str">
        <f>_xlfn.TEXTJOIN("_",TRUE,Table_textAnnotations[[#This Row],[Buch_Key]],Table_textAnnotations[[#This Row],[Anno_Key]],IF(ISBLANK(Table_textAnnotations[[#This Row],[Anno_Page_manuell]]),Table_textAnnotations[[#This Row],[Anno_Page_Auto]],Table_textAnnotations[[#This Row],[Anno_Page_manuell]]))&amp; ".txt"</f>
        <v>TX48IRE9_H7QPN5X8_69.txt</v>
      </c>
    </row>
    <row r="36" spans="1:12" ht="45" x14ac:dyDescent="0.25">
      <c r="A36" t="s">
        <v>125</v>
      </c>
      <c r="B36" t="s">
        <v>126</v>
      </c>
      <c r="C36">
        <v>1958</v>
      </c>
      <c r="D36" t="s">
        <v>127</v>
      </c>
      <c r="E36" t="s">
        <v>128</v>
      </c>
      <c r="F36">
        <v>169</v>
      </c>
      <c r="G36" t="s">
        <v>129</v>
      </c>
      <c r="H36" s="1" t="str">
        <f>_xlfn.TEXTJOIN(CHAR(10),FALSE, _xlfn.TEXTSPLIT(Table_textAnnotations[[#This Row],[Anno_Text]], "ABSATZ"))</f>
        <v>Werden  die Großen Schamlippen gespreizt, so werden darunter  die Kleinen Schamlippen sichtbar, die sich vorn an der  Klitoris (Kitzler) treffen, dem in der Regel sexuell empfindlichsten Organ des Weibes. Sie entspricht in ihrem Bau  dem männlichen Glied und kann auch in Erektion kommen, die aber sehr gering ist, so daß sie fast nicht auffällt.</v>
      </c>
      <c r="I36" s="1" t="s">
        <v>129</v>
      </c>
      <c r="J36" s="2" t="b">
        <v>1</v>
      </c>
      <c r="L36" t="str">
        <f>_xlfn.TEXTJOIN("_",TRUE,Table_textAnnotations[[#This Row],[Buch_Key]],Table_textAnnotations[[#This Row],[Anno_Key]],IF(ISBLANK(Table_textAnnotations[[#This Row],[Anno_Page_manuell]]),Table_textAnnotations[[#This Row],[Anno_Page_Auto]],Table_textAnnotations[[#This Row],[Anno_Page_manuell]]))&amp; ".txt"</f>
        <v>FANGNIDB_JEN8C3KF_169.txt</v>
      </c>
    </row>
    <row r="37" spans="1:12" ht="60" x14ac:dyDescent="0.25">
      <c r="A37" t="s">
        <v>125</v>
      </c>
      <c r="B37" t="s">
        <v>126</v>
      </c>
      <c r="C37">
        <v>1958</v>
      </c>
      <c r="D37" t="s">
        <v>130</v>
      </c>
      <c r="E37" t="s">
        <v>131</v>
      </c>
      <c r="G37" t="s">
        <v>132</v>
      </c>
      <c r="H37" s="1" t="str">
        <f>_xlfn.TEXTJOIN(CHAR(10),FALSE, _xlfn.TEXTSPLIT(Table_textAnnotations[[#This Row],[Anno_Text]], "ABSATZ"))</f>
        <v>In der Regel sollte  dem Geschlechtsverkehr eine Vorbereitung voraufgehen.  Sie besteht in Liebkosungen aller Art, vor allem in liebkosenden Berührungen der sogenannten erogenen Zonen  (das sind Körperzonen, deren Berührung geschlechtliche  Erregung auslöst, hauptsächlich Brustwarze und Mund, beim  Weibe die Klitoris und beim Manne das Glied). Während  der Geschlechtsgemeinschaft kann sich die Erregbarkeit bei  zunehmender Spannung auf weitere Regionen, schließlich  auf den ganzen Körper ausdehnen.</v>
      </c>
      <c r="I37" s="1" t="s">
        <v>132</v>
      </c>
      <c r="J37" s="2" t="b">
        <v>1</v>
      </c>
      <c r="L37" t="str">
        <f>_xlfn.TEXTJOIN("_",TRUE,Table_textAnnotations[[#This Row],[Buch_Key]],Table_textAnnotations[[#This Row],[Anno_Key]],IF(ISBLANK(Table_textAnnotations[[#This Row],[Anno_Page_manuell]]),Table_textAnnotations[[#This Row],[Anno_Page_Auto]],Table_textAnnotations[[#This Row],[Anno_Page_manuell]]))&amp; ".txt"</f>
        <v>FANGNIDB_PMPLBDGC_113.txt</v>
      </c>
    </row>
    <row r="38" spans="1:12" ht="90" x14ac:dyDescent="0.25">
      <c r="A38" t="s">
        <v>125</v>
      </c>
      <c r="B38" t="s">
        <v>126</v>
      </c>
      <c r="C38">
        <v>1958</v>
      </c>
      <c r="D38" t="s">
        <v>133</v>
      </c>
      <c r="E38" t="s">
        <v>134</v>
      </c>
      <c r="G38" t="s">
        <v>135</v>
      </c>
      <c r="H38" s="1" t="str">
        <f>_xlfn.TEXTJOIN(CHAR(10),FALSE, _xlfn.TEXTSPLIT(Table_textAnnotations[[#This Row],[Anno_Text]], "ABSATZ"))</f>
        <v>Die Seitenlage, in der der Mann hinter der Frau liegt,  also mit seinem Leib ihren Rücken berührt.  Diese Lage schafft der Frau außerordentlich wenig Ermüdung und empfiehlt sich daher bei Schwächezuständen  sowie in den letzten Monaten der Schwangerschaft, da  hierbei kein Druck auf die Gebärmutter ausgeübt wird.  Sie hat den Nachteil, daß die Frau den Mann nicht sieht,  ihn während der Vereinigung nicht liebkosen und im  Augenblick des Höhepunktes nicht fest umarmen kann  In ihr kann die Frau freilich leichter zur Erreichung  des Höhepunktes geführt werden, da der Mann ohne  Mühe imstande ist, mit dem Finger die Klitoris zu berühren, die in dieser Lage übrigens relativ benachteiligt  ist.</v>
      </c>
      <c r="I38" s="1" t="s">
        <v>135</v>
      </c>
      <c r="J38" s="2" t="b">
        <v>0</v>
      </c>
      <c r="L38" t="str">
        <f>_xlfn.TEXTJOIN("_",TRUE,Table_textAnnotations[[#This Row],[Buch_Key]],Table_textAnnotations[[#This Row],[Anno_Key]],IF(ISBLANK(Table_textAnnotations[[#This Row],[Anno_Page_manuell]]),Table_textAnnotations[[#This Row],[Anno_Page_Auto]],Table_textAnnotations[[#This Row],[Anno_Page_manuell]]))&amp; ".txt"</f>
        <v>FANGNIDB_E8UZSS9N_117.txt</v>
      </c>
    </row>
    <row r="39" spans="1:12" ht="105" x14ac:dyDescent="0.25">
      <c r="A39" t="s">
        <v>125</v>
      </c>
      <c r="B39" t="s">
        <v>126</v>
      </c>
      <c r="C39">
        <v>1958</v>
      </c>
      <c r="D39" t="s">
        <v>136</v>
      </c>
      <c r="E39" t="s">
        <v>137</v>
      </c>
      <c r="G39" t="s">
        <v>138</v>
      </c>
      <c r="H39" s="1" t="str">
        <f>_xlfn.TEXTJOIN(CHAR(10),FALSE, _xlfn.TEXTSPLIT(Table_textAnnotations[[#This Row],[Anno_Text]], "ABSATZ"))</f>
        <v>Es sind in letzter Zeit übrigens Zweifel entstanden, ob das Scheideninnere wirklich zu den erogenen (also geschlechtlich erregbaren) Zonen gehört. Bis dahin nahm man an, daß zunächst hauptsächlich die Klitoris geschlechtlich erregbar sei und daß sich die Erregbarkeit bei regelmäßigem Geschlechtsverkehr später auf das Scheideninnere ausdehne. In eingehenden Untersuchungen ist nun jedoch der Nachweis erbracht worden, daß die Scheide zum größten Teil nicht mit Reiznerven ausgestattet ist; diese finden sich lediglich an der Vorderseite der Scheide in der Gegend der Harnröhre. Infolgedessen ist es verkehrt, die Erregbarkeit der Klitoris nur als Beginnstadium zu betrachten; sie bleibt demnach ständig von entscheidender Bedeutung für die Geschlechtsgemeinschaft. Daß bei den verschiedenen Lagen die geschlechtliche Erregung jeweils anders empfunden wird, beruht demnach auf der Verschiedenartigkeit der Berührung mit der Klitoris.</v>
      </c>
      <c r="I39" s="1" t="s">
        <v>138</v>
      </c>
      <c r="J39" s="2" t="b">
        <v>1</v>
      </c>
      <c r="L39" t="str">
        <f>_xlfn.TEXTJOIN("_",TRUE,Table_textAnnotations[[#This Row],[Buch_Key]],Table_textAnnotations[[#This Row],[Anno_Key]],IF(ISBLANK(Table_textAnnotations[[#This Row],[Anno_Page_manuell]]),Table_textAnnotations[[#This Row],[Anno_Page_Auto]],Table_textAnnotations[[#This Row],[Anno_Page_manuell]]))&amp; ".txt"</f>
        <v>FANGNIDB_2JCQETD9_117f.txt</v>
      </c>
    </row>
    <row r="40" spans="1:12" ht="30" x14ac:dyDescent="0.25">
      <c r="A40" t="s">
        <v>125</v>
      </c>
      <c r="B40" t="s">
        <v>126</v>
      </c>
      <c r="C40">
        <v>1958</v>
      </c>
      <c r="D40" t="s">
        <v>139</v>
      </c>
      <c r="E40" t="s">
        <v>140</v>
      </c>
      <c r="G40" t="s">
        <v>141</v>
      </c>
      <c r="H40" s="1" t="str">
        <f>_xlfn.TEXTJOIN(CHAR(10),FALSE, _xlfn.TEXTSPLIT(Table_textAnnotations[[#This Row],[Anno_Text]], "ABSATZ"))</f>
        <v>Es ist noch zu bemerken, daß die kleinen Schamlippen  gegen den oberen Ansatz zu mitunter etwas verklebt sind.  Wenn man sie ein wenig auseinanderschiebt, ist die Klitoris  wieder bequem zugänglich.</v>
      </c>
      <c r="I40" s="1" t="s">
        <v>141</v>
      </c>
      <c r="J40" s="2" t="b">
        <v>1</v>
      </c>
      <c r="L40" t="str">
        <f>_xlfn.TEXTJOIN("_",TRUE,Table_textAnnotations[[#This Row],[Buch_Key]],Table_textAnnotations[[#This Row],[Anno_Key]],IF(ISBLANK(Table_textAnnotations[[#This Row],[Anno_Page_manuell]]),Table_textAnnotations[[#This Row],[Anno_Page_Auto]],Table_textAnnotations[[#This Row],[Anno_Page_manuell]]))&amp; ".txt"</f>
        <v>FANGNIDB_LLVDB2RJ_118.txt</v>
      </c>
    </row>
    <row r="41" spans="1:12" ht="30" x14ac:dyDescent="0.25">
      <c r="A41" t="s">
        <v>142</v>
      </c>
      <c r="B41" t="s">
        <v>143</v>
      </c>
      <c r="C41">
        <v>1960</v>
      </c>
      <c r="D41" t="s">
        <v>144</v>
      </c>
      <c r="E41" t="s">
        <v>145</v>
      </c>
      <c r="G41" t="s">
        <v>146</v>
      </c>
      <c r="H41" s="1" t="str">
        <f>_xlfn.TEXTJOIN(CHAR(10),FALSE, _xlfn.TEXTSPLIT(Table_textAnnotations[[#This Row],[Anno_Text]], "ABSATZ"))</f>
        <v>Die Geschlechtsspalte  bildet sich in der Mittellinie des unpaaren Geschlechtshöckers (Tuber genitale oder Phallus), sie wird flankiert von den Geschlechtsjalten. Das vordere Ende verdickt sich und wird zur Glans oder zur Clitoris.</v>
      </c>
      <c r="I41" s="1" t="s">
        <v>146</v>
      </c>
      <c r="J41" s="2" t="b">
        <v>1</v>
      </c>
      <c r="L41" t="str">
        <f>_xlfn.TEXTJOIN("_",TRUE,Table_textAnnotations[[#This Row],[Buch_Key]],Table_textAnnotations[[#This Row],[Anno_Key]],IF(ISBLANK(Table_textAnnotations[[#This Row],[Anno_Page_manuell]]),Table_textAnnotations[[#This Row],[Anno_Page_Auto]],Table_textAnnotations[[#This Row],[Anno_Page_manuell]]))&amp; ".txt"</f>
        <v>55E5ABJV_PM5DEKYT_290.txt</v>
      </c>
    </row>
    <row r="42" spans="1:12" ht="30" x14ac:dyDescent="0.25">
      <c r="A42" t="s">
        <v>142</v>
      </c>
      <c r="B42" t="s">
        <v>143</v>
      </c>
      <c r="C42">
        <v>1960</v>
      </c>
      <c r="D42" t="s">
        <v>147</v>
      </c>
      <c r="E42" t="s">
        <v>148</v>
      </c>
      <c r="G42" t="s">
        <v>149</v>
      </c>
      <c r="H42" s="1" t="str">
        <f>_xlfn.TEXTJOIN(CHAR(10),FALSE, _xlfn.TEXTSPLIT(Table_textAnnotations[[#This Row],[Anno_Text]], "ABSATZ"))</f>
        <v>Beim weiblichen Geschlecht (Abb. 218a, b) wird der Geschlechtshöcker zur Klitoris, die Geschlechtsfalten bilden die kleinen Schamlippen und die Geschlechtswülste lassen die großen Schamlippen aus sich hervorgehen.</v>
      </c>
      <c r="I42" s="1" t="s">
        <v>149</v>
      </c>
      <c r="J42" s="2" t="b">
        <v>1</v>
      </c>
      <c r="L42" t="str">
        <f>_xlfn.TEXTJOIN("_",TRUE,Table_textAnnotations[[#This Row],[Buch_Key]],Table_textAnnotations[[#This Row],[Anno_Key]],IF(ISBLANK(Table_textAnnotations[[#This Row],[Anno_Page_manuell]]),Table_textAnnotations[[#This Row],[Anno_Page_Auto]],Table_textAnnotations[[#This Row],[Anno_Page_manuell]]))&amp; ".txt"</f>
        <v>55E5ABJV_NS32JHG3_292.txt</v>
      </c>
    </row>
    <row r="43" spans="1:12" ht="90" x14ac:dyDescent="0.25">
      <c r="A43" t="s">
        <v>142</v>
      </c>
      <c r="B43" t="s">
        <v>143</v>
      </c>
      <c r="C43">
        <v>1960</v>
      </c>
      <c r="D43" t="s">
        <v>150</v>
      </c>
      <c r="E43" t="s">
        <v>151</v>
      </c>
      <c r="G43" t="s">
        <v>152</v>
      </c>
      <c r="H43" s="1" t="str">
        <f>_xlfn.TEXTJOIN(CHAR(10),FALSE, _xlfn.TEXTSPLIT(Table_textAnnotations[[#This Row],[Anno_Text]], "ABSATZ"))</f>
        <v>Die Clitoris, die ein Analogon des Penis darstellt und erektil ist, wird am unteren Symphysenrand durch das Lig. suspensorium clitoridis aufgehängt. Sie entsteht aus der Verschmelzung der beiden Crura clitoridis, die als Schwellkörper vom unteren Rand der absteigenden Schambeinäste herkommen und im Orgasmus anschwellen. Die Crura vereinigen sich in der Mitte zum Corpus clitoridis und entsprechen den Schwellkörpern des Penis. Die vorderen Enden der kleinen Schamlippen umschließen als Hautfalte die Klitoris, indem sie auf deren Rücken das Preputium clitoridis bilden, das nur die Eichel des Kitzlers, Glans clitoridis, hervorschauen läßt, während sie sich unterhalb der Klitoris zum Frenulum clitoridis  vereinigen (Abb. 251).</v>
      </c>
      <c r="I43" s="1" t="s">
        <v>152</v>
      </c>
      <c r="J43" s="2" t="b">
        <v>1</v>
      </c>
      <c r="L43" t="str">
        <f>_xlfn.TEXTJOIN("_",TRUE,Table_textAnnotations[[#This Row],[Buch_Key]],Table_textAnnotations[[#This Row],[Anno_Key]],IF(ISBLANK(Table_textAnnotations[[#This Row],[Anno_Page_manuell]]),Table_textAnnotations[[#This Row],[Anno_Page_Auto]],Table_textAnnotations[[#This Row],[Anno_Page_manuell]]))&amp; ".txt"</f>
        <v>55E5ABJV_PC9MJBKI_336.txt</v>
      </c>
    </row>
    <row r="44" spans="1:12" ht="45" x14ac:dyDescent="0.25">
      <c r="A44" t="s">
        <v>142</v>
      </c>
      <c r="B44" t="s">
        <v>143</v>
      </c>
      <c r="C44">
        <v>1960</v>
      </c>
      <c r="D44" t="s">
        <v>153</v>
      </c>
      <c r="E44" t="s">
        <v>151</v>
      </c>
      <c r="G44" t="s">
        <v>154</v>
      </c>
      <c r="H44" s="1" t="str">
        <f>_xlfn.TEXTJOIN(CHAR(10),FALSE, _xlfn.TEXTSPLIT(Table_textAnnotations[[#This Row],[Anno_Text]], "ABSATZ"))</f>
        <v>Die Klitoris kann bei Pseudohermaphroditismus femininus ext. der Größe eines männlichen Penis nahekommen.  Die Schleimhaut des Kitzlers ist infolge ihres Nervenreichtums sehr empfindlich. An besonderen Nervenendungen finden sich Genitalnervenkörperchen,  MEISSNERSChe Tastkörperchen und VATER-PACINISche Körperchen.</v>
      </c>
      <c r="I44" s="1" t="s">
        <v>154</v>
      </c>
      <c r="J44" s="2" t="b">
        <v>1</v>
      </c>
      <c r="K44" t="s">
        <v>1320</v>
      </c>
      <c r="L44" t="str">
        <f>_xlfn.TEXTJOIN("_",TRUE,Table_textAnnotations[[#This Row],[Buch_Key]],Table_textAnnotations[[#This Row],[Anno_Key]],IF(ISBLANK(Table_textAnnotations[[#This Row],[Anno_Page_manuell]]),Table_textAnnotations[[#This Row],[Anno_Page_Auto]],Table_textAnnotations[[#This Row],[Anno_Page_manuell]]))&amp; ".txt"</f>
        <v>55E5ABJV_KLBZU6JN_336.txt</v>
      </c>
    </row>
    <row r="45" spans="1:12" ht="30" x14ac:dyDescent="0.25">
      <c r="A45" t="s">
        <v>142</v>
      </c>
      <c r="B45" t="s">
        <v>143</v>
      </c>
      <c r="C45">
        <v>1960</v>
      </c>
      <c r="D45" t="s">
        <v>155</v>
      </c>
      <c r="E45" t="s">
        <v>156</v>
      </c>
      <c r="G45" t="s">
        <v>157</v>
      </c>
      <c r="H45" s="1" t="str">
        <f>_xlfn.TEXTJOIN(CHAR(10),FALSE, _xlfn.TEXTSPLIT(Table_textAnnotations[[#This Row],[Anno_Text]], "ABSATZ"))</f>
        <v>Unterhalb der Klitoris findet sich die Harnröhrenmündung, Ostium urethrae  externum, die rundlich oder geschlitzt ist und verschieden weit sein kann.</v>
      </c>
      <c r="I45" s="1" t="s">
        <v>157</v>
      </c>
      <c r="J45" s="2" t="b">
        <v>1</v>
      </c>
      <c r="L45" t="str">
        <f>_xlfn.TEXTJOIN("_",TRUE,Table_textAnnotations[[#This Row],[Buch_Key]],Table_textAnnotations[[#This Row],[Anno_Key]],IF(ISBLANK(Table_textAnnotations[[#This Row],[Anno_Page_manuell]]),Table_textAnnotations[[#This Row],[Anno_Page_Auto]],Table_textAnnotations[[#This Row],[Anno_Page_manuell]]))&amp; ".txt"</f>
        <v>55E5ABJV_J97IC69X_337.txt</v>
      </c>
    </row>
    <row r="46" spans="1:12" ht="45" x14ac:dyDescent="0.25">
      <c r="A46" t="s">
        <v>142</v>
      </c>
      <c r="B46" t="s">
        <v>143</v>
      </c>
      <c r="C46">
        <v>1960</v>
      </c>
      <c r="D46" t="s">
        <v>158</v>
      </c>
      <c r="E46" t="s">
        <v>156</v>
      </c>
      <c r="G46" t="s">
        <v>159</v>
      </c>
      <c r="H46" s="1" t="str">
        <f>_xlfn.TEXTJOIN(CHAR(10),FALSE, _xlfn.TEXTSPLIT(Table_textAnnotations[[#This Row],[Anno_Text]], "ABSATZ"))</f>
        <v>Die größte Drüse des Scheidenvorhofs ist die Glandula vestibularis major (BARTHOLINI) (Abb. 233). Ihr Körper, der etwa bohnengroß ist, liegt an der Basis der kleinen Schamlippen auf dem M. transversus perinei und grenzt an die stumpfen Enden der Schwellkörper des Vorhofs. D</v>
      </c>
      <c r="I46" s="1" t="s">
        <v>159</v>
      </c>
      <c r="J46" s="2" t="b">
        <v>1</v>
      </c>
      <c r="L46" t="str">
        <f>_xlfn.TEXTJOIN("_",TRUE,Table_textAnnotations[[#This Row],[Buch_Key]],Table_textAnnotations[[#This Row],[Anno_Key]],IF(ISBLANK(Table_textAnnotations[[#This Row],[Anno_Page_manuell]]),Table_textAnnotations[[#This Row],[Anno_Page_Auto]],Table_textAnnotations[[#This Row],[Anno_Page_manuell]]))&amp; ".txt"</f>
        <v>55E5ABJV_QZ67NGM8_337.txt</v>
      </c>
    </row>
    <row r="47" spans="1:12" ht="90" x14ac:dyDescent="0.25">
      <c r="A47" t="s">
        <v>142</v>
      </c>
      <c r="B47" t="s">
        <v>143</v>
      </c>
      <c r="C47">
        <v>1960</v>
      </c>
      <c r="D47" t="s">
        <v>160</v>
      </c>
      <c r="E47" t="s">
        <v>156</v>
      </c>
      <c r="G47" t="s">
        <v>161</v>
      </c>
      <c r="H47" s="1" t="str">
        <f>_xlfn.TEXTJOIN(CHAR(10),FALSE, _xlfn.TEXTSPLIT(Table_textAnnotations[[#This Row],[Anno_Text]], "ABSATZ"))</f>
        <v>Zu beiden Seiten des Scheidenvorhofs liegen an der Basis der kleinen Schamlippen die Schwellkörper des Vorhofs, Bulbi vestibuli. Während die Schwellkörper der Klitoris den Schwellkörpern des Penis entsprechen, bilden die Bulbi vestibuli das Gegenstück zu dem Corpus spongiosum penis des Mannes. Denken wir uns die Harnröhre des Mannes von unten her aufgeschlitzt und weit auseinandergedrängt, dann ist der Sinus urogenitalis wieder eröffnet und die Schwellkörper geraten in eine ähnliche Lage wie bei der Frau. Die paarigen Bulbi vestibuli sind am dorsalen Ende keulenförmig verdickt und verjüngen sich ventral, um sich über die Harnröhrenmündung hinweg mit kleinen Venengeflechten an der Glans clitoridis zu verbinden (Abb. 233).</v>
      </c>
      <c r="I47" s="1" t="s">
        <v>161</v>
      </c>
      <c r="J47" s="2" t="b">
        <v>1</v>
      </c>
      <c r="L47" t="str">
        <f>_xlfn.TEXTJOIN("_",TRUE,Table_textAnnotations[[#This Row],[Buch_Key]],Table_textAnnotations[[#This Row],[Anno_Key]],IF(ISBLANK(Table_textAnnotations[[#This Row],[Anno_Page_manuell]]),Table_textAnnotations[[#This Row],[Anno_Page_Auto]],Table_textAnnotations[[#This Row],[Anno_Page_manuell]]))&amp; ".txt"</f>
        <v>55E5ABJV_2HEDJWJ9_337.txt</v>
      </c>
    </row>
    <row r="48" spans="1:12" ht="60" x14ac:dyDescent="0.25">
      <c r="A48" t="s">
        <v>142</v>
      </c>
      <c r="B48" t="s">
        <v>143</v>
      </c>
      <c r="C48">
        <v>1960</v>
      </c>
      <c r="D48" t="s">
        <v>162</v>
      </c>
      <c r="E48" t="s">
        <v>156</v>
      </c>
      <c r="G48" t="s">
        <v>163</v>
      </c>
      <c r="H48" s="1" t="str">
        <f>_xlfn.TEXTJOIN(CHAR(10),FALSE, _xlfn.TEXTSPLIT(Table_textAnnotations[[#This Row],[Anno_Text]], "ABSATZ"))</f>
        <v>Die Bulbi vestibuli bestehen aus venösen Netzen, die durch Bindegewebe mit  einigen glatten Muskelzellen zusammengehalten werden und außen eine dünne Bindegewebshülle besitzen. Die Venen sind zum Teil kavernös erweitert und bilden bei ihrer Füllung weich  geschwellte Kissen, die den Scheideneingang auspolstern. Eine steife Erektion findet ebensowenig statt wie bei den entsprechenden Schwellkörpern der Harnröhre des Mannes.</v>
      </c>
      <c r="I48" s="1" t="s">
        <v>163</v>
      </c>
      <c r="J48" s="2" t="b">
        <v>1</v>
      </c>
      <c r="L48" t="str">
        <f>_xlfn.TEXTJOIN("_",TRUE,Table_textAnnotations[[#This Row],[Buch_Key]],Table_textAnnotations[[#This Row],[Anno_Key]],IF(ISBLANK(Table_textAnnotations[[#This Row],[Anno_Page_manuell]]),Table_textAnnotations[[#This Row],[Anno_Page_Auto]],Table_textAnnotations[[#This Row],[Anno_Page_manuell]]))&amp; ".txt"</f>
        <v>55E5ABJV_3KX3L8I5_337.txt</v>
      </c>
    </row>
    <row r="49" spans="1:12" ht="60" x14ac:dyDescent="0.25">
      <c r="A49" t="s">
        <v>142</v>
      </c>
      <c r="B49" t="s">
        <v>143</v>
      </c>
      <c r="C49">
        <v>1960</v>
      </c>
      <c r="D49" t="s">
        <v>164</v>
      </c>
      <c r="E49" t="s">
        <v>165</v>
      </c>
      <c r="G49" t="s">
        <v>166</v>
      </c>
      <c r="H49" s="1" t="str">
        <f>_xlfn.TEXTJOIN(CHAR(10),FALSE, _xlfn.TEXTSPLIT(Table_textAnnotations[[#This Row],[Anno_Text]], "ABSATZ"))</f>
        <v>Aus der A. pudenda int. gehen die Rr. labiales zu den kleinen Schamlippen, die A. bulbi vestibuli zum Bulbus vestibuli, die A. profunda clitoridis zum Crus clitoridis und die A. dorsalis clitoridis zur Glans clitoridis. Die V. dorsalis  clitoridis nimmt das Blut der Glans und des Corpus clitoridis auf. Der Bulbus vestibuli schickt seine Venen zu dem Plexus venosus uterinus et vaginalis, zum Teil in die Venae obturatoriae, außerdem bestehen Verbindungen zu den übrigen Venen der äußeren Geschlechtsorgane.</v>
      </c>
      <c r="I49" s="1" t="s">
        <v>166</v>
      </c>
      <c r="J49" s="2" t="b">
        <v>1</v>
      </c>
      <c r="L49" t="str">
        <f>_xlfn.TEXTJOIN("_",TRUE,Table_textAnnotations[[#This Row],[Buch_Key]],Table_textAnnotations[[#This Row],[Anno_Key]],IF(ISBLANK(Table_textAnnotations[[#This Row],[Anno_Page_manuell]]),Table_textAnnotations[[#This Row],[Anno_Page_Auto]],Table_textAnnotations[[#This Row],[Anno_Page_manuell]]))&amp; ".txt"</f>
        <v>55E5ABJV_HKLQ29ZI_338.txt</v>
      </c>
    </row>
    <row r="50" spans="1:12" x14ac:dyDescent="0.25">
      <c r="A50" t="s">
        <v>142</v>
      </c>
      <c r="B50" t="s">
        <v>143</v>
      </c>
      <c r="C50">
        <v>1960</v>
      </c>
      <c r="D50" t="s">
        <v>167</v>
      </c>
      <c r="E50" t="s">
        <v>165</v>
      </c>
      <c r="G50" t="s">
        <v>168</v>
      </c>
      <c r="H50" s="1" t="str">
        <f>_xlfn.TEXTJOIN(CHAR(10),FALSE, _xlfn.TEXTSPLIT(Table_textAnnotations[[#This Row],[Anno_Text]], "ABSATZ"))</f>
        <v>Ein N. dorsalis clitoridis gelangt auf den Rücken der Klitoris.</v>
      </c>
      <c r="I50" s="1" t="s">
        <v>168</v>
      </c>
      <c r="J50" s="2" t="b">
        <v>1</v>
      </c>
      <c r="L50" t="str">
        <f>_xlfn.TEXTJOIN("_",TRUE,Table_textAnnotations[[#This Row],[Buch_Key]],Table_textAnnotations[[#This Row],[Anno_Key]],IF(ISBLANK(Table_textAnnotations[[#This Row],[Anno_Page_manuell]]),Table_textAnnotations[[#This Row],[Anno_Page_Auto]],Table_textAnnotations[[#This Row],[Anno_Page_manuell]]))&amp; ".txt"</f>
        <v>55E5ABJV_EIS9KJPB_338.txt</v>
      </c>
    </row>
    <row r="51" spans="1:12" ht="30" x14ac:dyDescent="0.25">
      <c r="A51" t="s">
        <v>142</v>
      </c>
      <c r="B51" t="s">
        <v>143</v>
      </c>
      <c r="C51">
        <v>1960</v>
      </c>
      <c r="D51" t="s">
        <v>169</v>
      </c>
      <c r="E51" t="s">
        <v>170</v>
      </c>
      <c r="G51" t="s">
        <v>171</v>
      </c>
      <c r="H51" s="1" t="str">
        <f>_xlfn.TEXTJOIN(CHAR(10),FALSE, _xlfn.TEXTSPLIT(Table_textAnnotations[[#This Row],[Anno_Text]], "ABSATZ"))</f>
        <v>Der äußere Schließmuskel der Urethra, M. sphincter urethrae, bleibt im Niveau des Diaphragma urogenitale, und der M. ischiocavernosus hat eine Sonderaufgabe für den Schwellkörper des Penis bzw. der Klitoris.</v>
      </c>
      <c r="I51" s="1" t="s">
        <v>171</v>
      </c>
      <c r="J51" s="2" t="b">
        <v>1</v>
      </c>
      <c r="L51" t="str">
        <f>_xlfn.TEXTJOIN("_",TRUE,Table_textAnnotations[[#This Row],[Buch_Key]],Table_textAnnotations[[#This Row],[Anno_Key]],IF(ISBLANK(Table_textAnnotations[[#This Row],[Anno_Page_manuell]]),Table_textAnnotations[[#This Row],[Anno_Page_Auto]],Table_textAnnotations[[#This Row],[Anno_Page_manuell]]))&amp; ".txt"</f>
        <v>55E5ABJV_7WJR7XGM_339.txt</v>
      </c>
    </row>
    <row r="52" spans="1:12" ht="60" x14ac:dyDescent="0.25">
      <c r="A52" t="s">
        <v>142</v>
      </c>
      <c r="B52" t="s">
        <v>143</v>
      </c>
      <c r="C52">
        <v>1960</v>
      </c>
      <c r="D52" t="s">
        <v>172</v>
      </c>
      <c r="E52" t="s">
        <v>173</v>
      </c>
      <c r="G52" t="s">
        <v>174</v>
      </c>
      <c r="H52" s="1" t="str">
        <f>_xlfn.TEXTJOIN(CHAR(10),FALSE, _xlfn.TEXTSPLIT(Table_textAnnotations[[#This Row],[Anno_Text]], "ABSATZ"))</f>
        <v>Das Diaphragma ist durchsetzt mit glatten Muskelfasern und enthält reichlich Bindegewebe, das sich an der äußeren und inneren Oberfläche zur Fascia diaphragmatis urogenitalis superior und inferior verdichtet. Gegen die Symphyse hin gehen die Faszien in ein Lig. puboprostaticum (pubovesicale) über, das in bogenförmigem Verlauf am unteren Symphysenrand unter der Vena dorsalis penis (bzw. clitoridis) subfascialis verläuft.</v>
      </c>
      <c r="I52" s="1" t="s">
        <v>174</v>
      </c>
      <c r="J52" s="2" t="b">
        <v>1</v>
      </c>
      <c r="L52" t="str">
        <f>_xlfn.TEXTJOIN("_",TRUE,Table_textAnnotations[[#This Row],[Buch_Key]],Table_textAnnotations[[#This Row],[Anno_Key]],IF(ISBLANK(Table_textAnnotations[[#This Row],[Anno_Page_manuell]]),Table_textAnnotations[[#This Row],[Anno_Page_Auto]],Table_textAnnotations[[#This Row],[Anno_Page_manuell]]))&amp; ".txt"</f>
        <v>55E5ABJV_XK4Z7VTT_341.txt</v>
      </c>
    </row>
    <row r="53" spans="1:12" ht="45" x14ac:dyDescent="0.25">
      <c r="A53" t="s">
        <v>142</v>
      </c>
      <c r="B53" t="s">
        <v>143</v>
      </c>
      <c r="C53">
        <v>1960</v>
      </c>
      <c r="D53" t="s">
        <v>175</v>
      </c>
      <c r="E53" t="s">
        <v>176</v>
      </c>
      <c r="G53" t="s">
        <v>177</v>
      </c>
      <c r="H53" s="1" t="str">
        <f>_xlfn.TEXTJOIN(CHAR(10),FALSE, _xlfn.TEXTSPLIT(Table_textAnnotations[[#This Row],[Anno_Text]], "ABSATZ"))</f>
        <v>Der M. bulbocavernosus der Frau (Abb. 253) bietet primitivere Verhältnisse als beim Mann, da er die Scheide umschnürt und hierin dem Sphincter cloacae nahesteht. Er bildet ein plattes Muskelband, das auf dem Bulbus vestibuli liegt, vorn und hinten sind die Züge durch eine Raphe unterbrochen.</v>
      </c>
      <c r="I53" s="1" t="s">
        <v>177</v>
      </c>
      <c r="J53" s="2" t="b">
        <v>1</v>
      </c>
      <c r="L53" t="str">
        <f>_xlfn.TEXTJOIN("_",TRUE,Table_textAnnotations[[#This Row],[Buch_Key]],Table_textAnnotations[[#This Row],[Anno_Key]],IF(ISBLANK(Table_textAnnotations[[#This Row],[Anno_Page_manuell]]),Table_textAnnotations[[#This Row],[Anno_Page_Auto]],Table_textAnnotations[[#This Row],[Anno_Page_manuell]]))&amp; ".txt"</f>
        <v>55E5ABJV_5YF7WST8_342.txt</v>
      </c>
    </row>
    <row r="54" spans="1:12" ht="30" x14ac:dyDescent="0.25">
      <c r="A54" t="s">
        <v>142</v>
      </c>
      <c r="B54" t="s">
        <v>143</v>
      </c>
      <c r="C54">
        <v>1960</v>
      </c>
      <c r="D54" t="s">
        <v>178</v>
      </c>
      <c r="E54" t="s">
        <v>176</v>
      </c>
      <c r="G54" t="s">
        <v>179</v>
      </c>
      <c r="H54" s="1" t="str">
        <f>_xlfn.TEXTJOIN(CHAR(10),FALSE, _xlfn.TEXTSPLIT(Table_textAnnotations[[#This Row],[Anno_Text]], "ABSATZ"))</f>
        <v>Der M. ischiocavernosus bedeckt die paarigen Schwellkörper, die als Crura penis bzw. als Crura clitoridis an die unteren Schambeinäste angeheftet sind.</v>
      </c>
      <c r="I54" s="1" t="s">
        <v>179</v>
      </c>
      <c r="J54" s="2" t="b">
        <v>1</v>
      </c>
      <c r="L54" t="str">
        <f>_xlfn.TEXTJOIN("_",TRUE,Table_textAnnotations[[#This Row],[Buch_Key]],Table_textAnnotations[[#This Row],[Anno_Key]],IF(ISBLANK(Table_textAnnotations[[#This Row],[Anno_Page_manuell]]),Table_textAnnotations[[#This Row],[Anno_Page_Auto]],Table_textAnnotations[[#This Row],[Anno_Page_manuell]]))&amp; ".txt"</f>
        <v>55E5ABJV_TP4GTX4S_342.txt</v>
      </c>
    </row>
    <row r="55" spans="1:12" ht="30" x14ac:dyDescent="0.25">
      <c r="A55" t="s">
        <v>142</v>
      </c>
      <c r="B55" t="s">
        <v>143</v>
      </c>
      <c r="C55">
        <v>1960</v>
      </c>
      <c r="D55" t="s">
        <v>180</v>
      </c>
      <c r="E55" t="s">
        <v>176</v>
      </c>
      <c r="G55" t="s">
        <v>181</v>
      </c>
      <c r="H55" s="1" t="str">
        <f>_xlfn.TEXTJOIN(CHAR(10),FALSE, _xlfn.TEXTSPLIT(Table_textAnnotations[[#This Row],[Anno_Text]], "ABSATZ"))</f>
        <v>Der Muskel [M. ischiocavernosus] übt eine schnürende Wirkung auf den Scheideneingang aus und hieß daher früher M. constrictor cunni. Inwieweit er den Füllungszustand des bedeckten Schwellkörpers beeinflußt, an den auch Fasern ansetzen, ist unbekannt.</v>
      </c>
      <c r="I55" s="1" t="s">
        <v>181</v>
      </c>
      <c r="J55" s="2" t="b">
        <v>1</v>
      </c>
      <c r="L55" t="str">
        <f>_xlfn.TEXTJOIN("_",TRUE,Table_textAnnotations[[#This Row],[Buch_Key]],Table_textAnnotations[[#This Row],[Anno_Key]],IF(ISBLANK(Table_textAnnotations[[#This Row],[Anno_Page_manuell]]),Table_textAnnotations[[#This Row],[Anno_Page_Auto]],Table_textAnnotations[[#This Row],[Anno_Page_manuell]]))&amp; ".txt"</f>
        <v>55E5ABJV_LK8TMFNU_342.txt</v>
      </c>
    </row>
    <row r="56" spans="1:12" ht="30" x14ac:dyDescent="0.25">
      <c r="A56" t="s">
        <v>142</v>
      </c>
      <c r="B56" t="s">
        <v>143</v>
      </c>
      <c r="C56">
        <v>1960</v>
      </c>
      <c r="D56" t="s">
        <v>182</v>
      </c>
      <c r="E56" t="s">
        <v>176</v>
      </c>
      <c r="G56" t="s">
        <v>183</v>
      </c>
      <c r="H56" s="1" t="str">
        <f>_xlfn.TEXTJOIN(CHAR(10),FALSE, _xlfn.TEXTSPLIT(Table_textAnnotations[[#This Row],[Anno_Text]], "ABSATZ"))</f>
        <v>Der M. ischiocavernosus der Frau ist bedeutend kleiner und vorwiegend sehnig. Nur in der Nähe des Ursprungs ist er noch fleischig. Auch er kann das Blut im Schwellkörper nach vorn zur Eichel hintreiben.</v>
      </c>
      <c r="I56" s="1" t="s">
        <v>183</v>
      </c>
      <c r="J56" s="2" t="b">
        <v>1</v>
      </c>
      <c r="L56" t="str">
        <f>_xlfn.TEXTJOIN("_",TRUE,Table_textAnnotations[[#This Row],[Buch_Key]],Table_textAnnotations[[#This Row],[Anno_Key]],IF(ISBLANK(Table_textAnnotations[[#This Row],[Anno_Page_manuell]]),Table_textAnnotations[[#This Row],[Anno_Page_Auto]],Table_textAnnotations[[#This Row],[Anno_Page_manuell]]))&amp; ".txt"</f>
        <v>55E5ABJV_MUI4PEPF_342.txt</v>
      </c>
    </row>
    <row r="57" spans="1:12" ht="30" x14ac:dyDescent="0.25">
      <c r="A57" t="s">
        <v>184</v>
      </c>
      <c r="B57" t="s">
        <v>185</v>
      </c>
      <c r="C57">
        <v>1961</v>
      </c>
      <c r="D57" t="s">
        <v>186</v>
      </c>
      <c r="E57" t="s">
        <v>187</v>
      </c>
      <c r="G57" t="s">
        <v>188</v>
      </c>
      <c r="H57" s="1" t="str">
        <f>_xlfn.TEXTJOIN(CHAR(10),FALSE, _xlfn.TEXTSPLIT(Table_textAnnotations[[#This Row],[Anno_Text]], "ABSATZ"))</f>
        <v>Männliche  Hormone können bei Frauen das Wachsen eines Bartes  verursachen und sogar die Klitoris vergrößern, aber sie  müssen keine lesbischen Tendenzen hervorrufen.</v>
      </c>
      <c r="I57" s="1" t="s">
        <v>188</v>
      </c>
      <c r="J57" s="2" t="b">
        <v>1</v>
      </c>
      <c r="L57" t="str">
        <f>_xlfn.TEXTJOIN("_",TRUE,Table_textAnnotations[[#This Row],[Buch_Key]],Table_textAnnotations[[#This Row],[Anno_Key]],IF(ISBLANK(Table_textAnnotations[[#This Row],[Anno_Page_manuell]]),Table_textAnnotations[[#This Row],[Anno_Page_Auto]],Table_textAnnotations[[#This Row],[Anno_Page_manuell]]))&amp; ".txt"</f>
        <v>VZTM4U6P_F6968E2G_90.txt</v>
      </c>
    </row>
    <row r="58" spans="1:12" ht="45" x14ac:dyDescent="0.25">
      <c r="A58" t="s">
        <v>184</v>
      </c>
      <c r="B58" t="s">
        <v>185</v>
      </c>
      <c r="C58">
        <v>1961</v>
      </c>
      <c r="D58" t="s">
        <v>189</v>
      </c>
      <c r="E58" t="s">
        <v>190</v>
      </c>
      <c r="G58" t="s">
        <v>191</v>
      </c>
      <c r="H58" s="1" t="str">
        <f>_xlfn.TEXTJOIN(CHAR(10),FALSE, _xlfn.TEXTSPLIT(Table_textAnnotations[[#This Row],[Anno_Text]], "ABSATZ"))</f>
        <v>[Kontext: Die klitorale(/genitale) Phase] Der Junge entdeckt, daß sein Penis ebenso zu einer Quelle von Lustgefühlen werden kann wie Mund und After. Das Mädchen macht eine ähnliche Feststellung, denn sie findet etwas, das tatsächlich einem Penis en miniature entspricht. Bei einem Mädchen besteht kindliche Onanie in einem Stimulieren der Klitoris.</v>
      </c>
      <c r="I58" s="1" t="s">
        <v>191</v>
      </c>
      <c r="J58" s="2" t="b">
        <v>0</v>
      </c>
      <c r="L58" t="str">
        <f>_xlfn.TEXTJOIN("_",TRUE,Table_textAnnotations[[#This Row],[Buch_Key]],Table_textAnnotations[[#This Row],[Anno_Key]],IF(ISBLANK(Table_textAnnotations[[#This Row],[Anno_Page_manuell]]),Table_textAnnotations[[#This Row],[Anno_Page_Auto]],Table_textAnnotations[[#This Row],[Anno_Page_manuell]]))&amp; ".txt"</f>
        <v>VZTM4U6P_45ZESM9S_110.txt</v>
      </c>
    </row>
    <row r="59" spans="1:12" ht="90" x14ac:dyDescent="0.25">
      <c r="A59" t="s">
        <v>184</v>
      </c>
      <c r="B59" t="s">
        <v>185</v>
      </c>
      <c r="C59">
        <v>1961</v>
      </c>
      <c r="D59" t="s">
        <v>192</v>
      </c>
      <c r="E59" t="s">
        <v>193</v>
      </c>
      <c r="G59" t="s">
        <v>194</v>
      </c>
      <c r="H59" s="1" t="str">
        <f>_xlfn.TEXTJOIN(CHAR(10),FALSE, _xlfn.TEXTSPLIT(Table_textAnnotations[[#This Row],[Anno_Text]], "ABSATZ"))</f>
        <v>[Kontext: Die klitorale Phase] In diesem Alter hat es an der Vagina kein besonderes Interesse. Sie erscheint bedeutungslos, bis das Mädchen erkennt, wie verschieden ein Junge gebaut ist. Wenn es zum erstenmal einen männlichen Penis sieht, wird es wahrscheinlich bestürzt den Vergleich mit seinen eigenen, scheinbar unreifen Geschlechtsteilen ziehen.
Es gibt Beweise, daß ein derartiger Schock sehr häufig ist und von phantastischen Versuchen, diese Verschiedenheit zu erklären, begleitet wird. Die spontane Reaktion des Mädchens ist ein Gefühl der Minderwertigkeit, weil ihm etwas fehlt, das die Jungen besitzen. In diesem Neid ist übrigens die Wurzel der Inferioritätsgefühle zu suchen, die später oft die Beziehungen zwischen den Geschlechtern erschweren.</v>
      </c>
      <c r="I59" s="1" t="s">
        <v>1323</v>
      </c>
      <c r="J59" s="2" t="b">
        <v>0</v>
      </c>
      <c r="L59" t="str">
        <f>_xlfn.TEXTJOIN("_",TRUE,Table_textAnnotations[[#This Row],[Buch_Key]],Table_textAnnotations[[#This Row],[Anno_Key]],IF(ISBLANK(Table_textAnnotations[[#This Row],[Anno_Page_manuell]]),Table_textAnnotations[[#This Row],[Anno_Page_Auto]],Table_textAnnotations[[#This Row],[Anno_Page_manuell]]))&amp; ".txt"</f>
        <v>VZTM4U6P_AKLJVNXS_110f.txt</v>
      </c>
    </row>
    <row r="60" spans="1:12" ht="30" x14ac:dyDescent="0.25">
      <c r="A60" t="s">
        <v>184</v>
      </c>
      <c r="B60" t="s">
        <v>185</v>
      </c>
      <c r="C60">
        <v>1961</v>
      </c>
      <c r="D60" t="s">
        <v>195</v>
      </c>
      <c r="E60" t="s">
        <v>196</v>
      </c>
      <c r="G60" t="s">
        <v>197</v>
      </c>
      <c r="H60" s="1" t="str">
        <f>_xlfn.TEXTJOIN(CHAR(10),FALSE, _xlfn.TEXTSPLIT(Table_textAnnotations[[#This Row],[Anno_Text]], "ABSATZ"))</f>
        <v>[Kontext: Die klitorale Phase] Die einfachste Erklärung für das Fehlen eines Penis ist die, daß er abgeschnitten wurde. Die Vagina, die sonst keinen Sinn zu haben scheint, kann so als Kastrationswunde erklärt werden.</v>
      </c>
      <c r="I60" s="1" t="s">
        <v>197</v>
      </c>
      <c r="J60" s="2" t="b">
        <v>0</v>
      </c>
      <c r="L60" t="str">
        <f>_xlfn.TEXTJOIN("_",TRUE,Table_textAnnotations[[#This Row],[Buch_Key]],Table_textAnnotations[[#This Row],[Anno_Key]],IF(ISBLANK(Table_textAnnotations[[#This Row],[Anno_Page_manuell]]),Table_textAnnotations[[#This Row],[Anno_Page_Auto]],Table_textAnnotations[[#This Row],[Anno_Page_manuell]]))&amp; ".txt"</f>
        <v>VZTM4U6P_PZRXYBVW_111.txt</v>
      </c>
    </row>
    <row r="61" spans="1:12" ht="45" x14ac:dyDescent="0.25">
      <c r="A61" t="s">
        <v>184</v>
      </c>
      <c r="B61" t="s">
        <v>185</v>
      </c>
      <c r="C61">
        <v>1961</v>
      </c>
      <c r="D61" t="s">
        <v>198</v>
      </c>
      <c r="E61" t="s">
        <v>196</v>
      </c>
      <c r="G61" t="s">
        <v>199</v>
      </c>
      <c r="H61" s="1" t="str">
        <f>_xlfn.TEXTJOIN(CHAR(10),FALSE, _xlfn.TEXTSPLIT(Table_textAnnotations[[#This Row],[Anno_Text]], "ABSATZ"))</f>
        <v>[Kontext: Die klitorale Phase] [...] ob er [der Junge] homosexuell oder heterosexuell wird - jedenfalls wird er seine sexuelle Befriedigung im wesentlichen durch den Penis finden. Ganz anders verhält es sich bei einem Mädchen; es muß erst die Lustgefühle entdecken, die ihm die Vagina vermitteln kann. Daher erfolgt seine sexuelle Entwicklung in zwei Phasen: der klitoralen und der vaginalen.</v>
      </c>
      <c r="I61" s="1" t="s">
        <v>199</v>
      </c>
      <c r="J61" s="2" t="b">
        <v>0</v>
      </c>
      <c r="L61" t="str">
        <f>_xlfn.TEXTJOIN("_",TRUE,Table_textAnnotations[[#This Row],[Buch_Key]],Table_textAnnotations[[#This Row],[Anno_Key]],IF(ISBLANK(Table_textAnnotations[[#This Row],[Anno_Page_manuell]]),Table_textAnnotations[[#This Row],[Anno_Page_Auto]],Table_textAnnotations[[#This Row],[Anno_Page_manuell]]))&amp; ".txt"</f>
        <v>VZTM4U6P_6P9TY2IU_111.txt</v>
      </c>
    </row>
    <row r="62" spans="1:12" ht="90" x14ac:dyDescent="0.25">
      <c r="A62" t="s">
        <v>184</v>
      </c>
      <c r="B62" t="s">
        <v>185</v>
      </c>
      <c r="C62">
        <v>1961</v>
      </c>
      <c r="D62" t="s">
        <v>200</v>
      </c>
      <c r="E62" t="s">
        <v>201</v>
      </c>
      <c r="G62" t="s">
        <v>202</v>
      </c>
      <c r="H62" s="1" t="str">
        <f>_xlfn.TEXTJOIN(CHAR(10),FALSE, _xlfn.TEXTSPLIT(Table_textAnnotations[[#This Row],[Anno_Text]], "ABSATZ"))</f>
        <v>[Kontext: Die klitorale Phase] Einige Psychologen vermuten, daß ein zu langes Verharren im klitoralen Stadium eine Ursache der weiblichen Homosexualität sein könnte. Solange das Mädchen seine Klitoris als wenn auch rudimentären - Penis ansieht, muß seine Einstellung maskulin sein. Es wird wilde Bubenspiele bevorzugen und zu einem burschikosen Mädchen werden. Diese Eigenschaften können sich auch nach der Pubertät erhalten. Wird der Mutterinstinkt, der in das vaginale Stadium überleitet, nicht geweckt, so bleiben die typisch weiblichen Charaktermerkmale aus. Wenn das Mädchen die rauhen Jungenspiele sein läßt und sich den Puppen zuwendet, wird ihre Einstellung weicher.</v>
      </c>
      <c r="I62" s="1" t="s">
        <v>202</v>
      </c>
      <c r="J62" s="2" t="b">
        <v>0</v>
      </c>
      <c r="L62" t="str">
        <f>_xlfn.TEXTJOIN("_",TRUE,Table_textAnnotations[[#This Row],[Buch_Key]],Table_textAnnotations[[#This Row],[Anno_Key]],IF(ISBLANK(Table_textAnnotations[[#This Row],[Anno_Page_manuell]]),Table_textAnnotations[[#This Row],[Anno_Page_Auto]],Table_textAnnotations[[#This Row],[Anno_Page_manuell]]))&amp; ".txt"</f>
        <v>VZTM4U6P_Q234XN3R_111f.txt</v>
      </c>
    </row>
    <row r="63" spans="1:12" ht="120" x14ac:dyDescent="0.25">
      <c r="A63" t="s">
        <v>184</v>
      </c>
      <c r="B63" t="s">
        <v>185</v>
      </c>
      <c r="C63">
        <v>1961</v>
      </c>
      <c r="D63" t="s">
        <v>203</v>
      </c>
      <c r="E63" t="s">
        <v>204</v>
      </c>
      <c r="G63" t="s">
        <v>205</v>
      </c>
      <c r="H63" s="1" t="str">
        <f>_xlfn.TEXTJOIN(CHAR(10),FALSE, _xlfn.TEXTSPLIT(Table_textAnnotations[[#This Row],[Anno_Text]], "ABSATZ"))</f>
        <v>[Kontext: Die klitorale Phase] Das Problem des Penisneides wird allmählich von dem Wunsch nach Eindringen des Penis abgelöst werden. Damit gelangt die Frau auf eine andere Art in den Besitz eines Penis - obwohl sie unbewußt den Mann kastriert und ihm seinen Penis nimmt. Wenn das Mädchen aus irgendeinem Grund diese Lösung nicht zustande bringt, wird die dem klitoralen Stadium entsprechende männliche Rolle nicht abgelegt. Es wird wahrscheinlich die übertrieben starke Bindung an die Mutter während der Ödipusphase beibehalten, weil es psychologisch ein Junge ist. 2 Es hat daher das gleiche Verhältnis zur Mutter wie ein Sohn. Während die sexuellen Triebe stärker werden, bleiben sie immer noch auf die Mutter konzentriert. Wenn die Möglichkeit einer Sublimierung besteht, ist damit kein Schaden angerichtet. Das Mädchen wird in diesem Fall wahrscheinlich zu einer beruflich ehrgeizigen und erfolgreichen Frau werden. Aber wenn ihr Charakter nicht stark genug ist, den Trieb zu sublimieren, kann sie neigungsmäßig, wenn auch vielleicht nicht in der Praxis, zur Lesbierin werden.</v>
      </c>
      <c r="I63" s="1" t="s">
        <v>205</v>
      </c>
      <c r="J63" s="2" t="b">
        <v>0</v>
      </c>
      <c r="L63" t="str">
        <f>_xlfn.TEXTJOIN("_",TRUE,Table_textAnnotations[[#This Row],[Buch_Key]],Table_textAnnotations[[#This Row],[Anno_Key]],IF(ISBLANK(Table_textAnnotations[[#This Row],[Anno_Page_manuell]]),Table_textAnnotations[[#This Row],[Anno_Page_Auto]],Table_textAnnotations[[#This Row],[Anno_Page_manuell]]))&amp; ".txt"</f>
        <v>VZTM4U6P_XFWANMT9_112.txt</v>
      </c>
    </row>
    <row r="64" spans="1:12" ht="45" x14ac:dyDescent="0.25">
      <c r="A64" t="s">
        <v>184</v>
      </c>
      <c r="B64" t="s">
        <v>185</v>
      </c>
      <c r="C64">
        <v>1961</v>
      </c>
      <c r="D64" t="s">
        <v>206</v>
      </c>
      <c r="E64" t="s">
        <v>131</v>
      </c>
      <c r="G64" t="s">
        <v>207</v>
      </c>
      <c r="H64" s="1" t="str">
        <f>_xlfn.TEXTJOIN(CHAR(10),FALSE, _xlfn.TEXTSPLIT(Table_textAnnotations[[#This Row],[Anno_Text]], "ABSATZ"))</f>
        <v>Beide Geschlechter müssen die Krise der Ödipussituation bewältigen, aber das Mädchen  hat zusätzliche Probleme zu lösen. Es muß lernen zu verstehen, daß es nicht ein kastrierter Junge ist. Es muß die  männliche Einstellung der klitoralen Phase ablegen und  sich weiblichen Zielen zuwenden.</v>
      </c>
      <c r="I64" s="1" t="s">
        <v>207</v>
      </c>
      <c r="J64" s="2" t="b">
        <v>0</v>
      </c>
      <c r="L64" t="str">
        <f>_xlfn.TEXTJOIN("_",TRUE,Table_textAnnotations[[#This Row],[Buch_Key]],Table_textAnnotations[[#This Row],[Anno_Key]],IF(ISBLANK(Table_textAnnotations[[#This Row],[Anno_Page_manuell]]),Table_textAnnotations[[#This Row],[Anno_Page_Auto]],Table_textAnnotations[[#This Row],[Anno_Page_manuell]]))&amp; ".txt"</f>
        <v>VZTM4U6P_YWJ27QWX_113.txt</v>
      </c>
    </row>
    <row r="65" spans="1:12" ht="75" x14ac:dyDescent="0.25">
      <c r="A65" t="s">
        <v>184</v>
      </c>
      <c r="B65" t="s">
        <v>185</v>
      </c>
      <c r="C65">
        <v>1961</v>
      </c>
      <c r="D65" t="s">
        <v>208</v>
      </c>
      <c r="E65" t="s">
        <v>209</v>
      </c>
      <c r="G65" t="s">
        <v>210</v>
      </c>
      <c r="H65" s="1" t="str">
        <f>_xlfn.TEXTJOIN(CHAR(10),FALSE, _xlfn.TEXTSPLIT(Table_textAnnotations[[#This Row],[Anno_Text]], "ABSATZ"))</f>
        <v>Der mächtige Muttertrieb kann verhindern, daß sich eine derartige Einstellung verhärtet, aber ohne ihn wird die normale sexuelle Entwicklung aufgehalten. Die Bindung zur Mutter kann gelöst werden, aber als neues Liebesobjekt wird ein Mutterersatz gewählt - eine andere Frau, nicht ein Mann. Wenn die Beziehung auch zu körperlichen Intimitäten führt - es ist dies keineswegs immer der Fall -, werden die frühesten Phasen infantiler Sexualität wiedererweckt, in denen die Lustgefühle nicht in der Vagina, sondern in anderen Körperteilen gesucht wurden: eine Rückkehr zu oraler Berührung und Stimulierung der Klitoris.</v>
      </c>
      <c r="I65" s="1" t="s">
        <v>210</v>
      </c>
      <c r="J65" s="2" t="b">
        <v>0</v>
      </c>
      <c r="L65" t="str">
        <f>_xlfn.TEXTJOIN("_",TRUE,Table_textAnnotations[[#This Row],[Buch_Key]],Table_textAnnotations[[#This Row],[Anno_Key]],IF(ISBLANK(Table_textAnnotations[[#This Row],[Anno_Page_manuell]]),Table_textAnnotations[[#This Row],[Anno_Page_Auto]],Table_textAnnotations[[#This Row],[Anno_Page_manuell]]))&amp; ".txt"</f>
        <v>VZTM4U6P_L9WPE6GS_113f.txt</v>
      </c>
    </row>
    <row r="66" spans="1:12" ht="45" x14ac:dyDescent="0.25">
      <c r="A66" t="s">
        <v>184</v>
      </c>
      <c r="B66" t="s">
        <v>185</v>
      </c>
      <c r="C66">
        <v>1961</v>
      </c>
      <c r="D66" t="s">
        <v>211</v>
      </c>
      <c r="E66" t="s">
        <v>212</v>
      </c>
      <c r="G66" t="s">
        <v>213</v>
      </c>
      <c r="H66" s="1" t="str">
        <f>_xlfn.TEXTJOIN(CHAR(10),FALSE, _xlfn.TEXTSPLIT(Table_textAnnotations[[#This Row],[Anno_Text]], "ABSATZ"))</f>
        <v>Hier einige Situationen, die zur Homosexualität führen  können:  1. Das Verharren in der klitoralen Phase und das Beibehalten des Penisneides können eine emotionelle Bindung an den Vater verhindern. Daher entwickelt sich  wie beim Jungen eine starke Bindung an die Mutter.</v>
      </c>
      <c r="I66" s="1" t="s">
        <v>213</v>
      </c>
      <c r="J66" s="2" t="b">
        <v>0</v>
      </c>
      <c r="L66" t="str">
        <f>_xlfn.TEXTJOIN("_",TRUE,Table_textAnnotations[[#This Row],[Buch_Key]],Table_textAnnotations[[#This Row],[Anno_Key]],IF(ISBLANK(Table_textAnnotations[[#This Row],[Anno_Page_manuell]]),Table_textAnnotations[[#This Row],[Anno_Page_Auto]],Table_textAnnotations[[#This Row],[Anno_Page_manuell]]))&amp; ".txt"</f>
        <v>VZTM4U6P_GUVJJKEK_115.txt</v>
      </c>
    </row>
    <row r="67" spans="1:12" ht="30" x14ac:dyDescent="0.25">
      <c r="A67" t="s">
        <v>184</v>
      </c>
      <c r="B67" t="s">
        <v>185</v>
      </c>
      <c r="C67">
        <v>1961</v>
      </c>
      <c r="D67" t="s">
        <v>214</v>
      </c>
      <c r="E67" t="s">
        <v>134</v>
      </c>
      <c r="G67" t="s">
        <v>215</v>
      </c>
      <c r="H67" s="1" t="str">
        <f>_xlfn.TEXTJOIN(CHAR(10),FALSE, _xlfn.TEXTSPLIT(Table_textAnnotations[[#This Row],[Anno_Text]], "ABSATZ"))</f>
        <v>Abgesehen von den Sexualhormonen bestehen deutliche organische Ähnlichkeiten [zwischen Mann und Frau], z. B. der rudimentäre Penis, der bei manchen Frauen klar erkenntlich ist.</v>
      </c>
      <c r="I67" s="1" t="s">
        <v>215</v>
      </c>
      <c r="J67" s="2" t="b">
        <v>0</v>
      </c>
      <c r="L67" t="str">
        <f>_xlfn.TEXTJOIN("_",TRUE,Table_textAnnotations[[#This Row],[Buch_Key]],Table_textAnnotations[[#This Row],[Anno_Key]],IF(ISBLANK(Table_textAnnotations[[#This Row],[Anno_Page_manuell]]),Table_textAnnotations[[#This Row],[Anno_Page_Auto]],Table_textAnnotations[[#This Row],[Anno_Page_manuell]]))&amp; ".txt"</f>
        <v>VZTM4U6P_JDB8DLLV_117.txt</v>
      </c>
    </row>
    <row r="68" spans="1:12" ht="30" x14ac:dyDescent="0.25">
      <c r="A68" t="s">
        <v>216</v>
      </c>
      <c r="B68" t="s">
        <v>217</v>
      </c>
      <c r="C68">
        <v>1962</v>
      </c>
      <c r="D68" t="s">
        <v>218</v>
      </c>
      <c r="E68" t="s">
        <v>128</v>
      </c>
      <c r="F68">
        <v>478</v>
      </c>
      <c r="G68" t="s">
        <v>219</v>
      </c>
      <c r="H68" s="1" t="str">
        <f>_xlfn.TEXTJOIN(CHAR(10),FALSE, _xlfn.TEXTSPLIT(Table_textAnnotations[[#This Row],[Anno_Text]], "ABSATZ"))</f>
        <v>B. bei der Frau: 1. die äußeren Geschlechtsorgane == große Schamlippen (Labia majora pudendi), kleine Schamlippen (Labia minora pudendi), Kitzler (Clitoris), BARTHOLINsche Drüsen und Scheidenvorhof (Vestibulum vaginae);</v>
      </c>
      <c r="I68" s="1" t="s">
        <v>219</v>
      </c>
      <c r="J68" s="2" t="b">
        <v>1</v>
      </c>
      <c r="L68" t="str">
        <f>_xlfn.TEXTJOIN("_",TRUE,Table_textAnnotations[[#This Row],[Buch_Key]],Table_textAnnotations[[#This Row],[Anno_Key]],IF(ISBLANK(Table_textAnnotations[[#This Row],[Anno_Page_manuell]]),Table_textAnnotations[[#This Row],[Anno_Page_Auto]],Table_textAnnotations[[#This Row],[Anno_Page_manuell]]))&amp; ".txt"</f>
        <v>GQX8X7A4_Q8F7XCLT_478.txt</v>
      </c>
    </row>
    <row r="69" spans="1:12" ht="60" x14ac:dyDescent="0.25">
      <c r="A69" t="s">
        <v>220</v>
      </c>
      <c r="B69" t="s">
        <v>221</v>
      </c>
      <c r="C69">
        <v>1962</v>
      </c>
      <c r="D69" t="s">
        <v>222</v>
      </c>
      <c r="E69" t="s">
        <v>223</v>
      </c>
      <c r="G69" t="s">
        <v>224</v>
      </c>
      <c r="H69" s="1" t="str">
        <f>_xlfn.TEXTJOIN(CHAR(10),FALSE, _xlfn.TEXTSPLIT(Table_textAnnotations[[#This Row],[Anno_Text]], "ABSATZ"))</f>
        <v>Reizung: Agar., Am-c., Bry., Calc., Canth., Carb-v., Con., Dulc., Graph., Hep., Kali-br., Kreos., Lyc., Merc., Nat-m., Nit-ac., Nux-v., Orig., Phos., Plat., Puls., Sep., Sil., Sulf.
[Listenelement] Clitoris: Am-c. [Ammonium carbonicum]</v>
      </c>
      <c r="I69" s="1" t="s">
        <v>1355</v>
      </c>
      <c r="J69" s="2" t="b">
        <v>0</v>
      </c>
      <c r="L69" t="str">
        <f>_xlfn.TEXTJOIN("_",TRUE,Table_textAnnotations[[#This Row],[Buch_Key]],Table_textAnnotations[[#This Row],[Anno_Key]],IF(ISBLANK(Table_textAnnotations[[#This Row],[Anno_Page_manuell]]),Table_textAnnotations[[#This Row],[Anno_Page_Auto]],Table_textAnnotations[[#This Row],[Anno_Page_manuell]]))&amp; ".txt"</f>
        <v>8CT4VIK6_8CCGMD2N_758.txt</v>
      </c>
    </row>
    <row r="70" spans="1:12" ht="135" x14ac:dyDescent="0.25">
      <c r="A70" t="s">
        <v>220</v>
      </c>
      <c r="B70" t="s">
        <v>221</v>
      </c>
      <c r="C70">
        <v>1962</v>
      </c>
      <c r="D70" t="s">
        <v>225</v>
      </c>
      <c r="E70" t="s">
        <v>226</v>
      </c>
      <c r="G70" t="s">
        <v>227</v>
      </c>
      <c r="H70" s="1" t="str">
        <f>_xlfn.TEXTJOIN(CHAR(10),FALSE, _xlfn.TEXTSPLIT(Table_textAnnotations[[#This Row],[Anno_Text]], "ABSATZ"))</f>
        <v>STECHENDER, fein st. Schmerz14; Apis, Ars., Berb., Calc-p., Carb-v., Eupi., Kali-c., Kreos., Lil-t., Lyc., Phos., Puls., Sabin., Sep., Staph., Urt-u., Zinc.
[...]
[Listenelement] Vulva, Clitoris: Bor. [Borax veneta]
[Tab] nachts: Bor. [Borax veneta]
[Fußnote] 14 engl. stinging</v>
      </c>
      <c r="I70" s="1" t="s">
        <v>1356</v>
      </c>
      <c r="J70" s="2" t="b">
        <v>0</v>
      </c>
      <c r="L70" t="str">
        <f>_xlfn.TEXTJOIN("_",TRUE,Table_textAnnotations[[#This Row],[Buch_Key]],Table_textAnnotations[[#This Row],[Anno_Key]],IF(ISBLANK(Table_textAnnotations[[#This Row],[Anno_Page_manuell]]),Table_textAnnotations[[#This Row],[Anno_Page_Auto]],Table_textAnnotations[[#This Row],[Anno_Page_manuell]]))&amp; ".txt"</f>
        <v>8CT4VIK6_4FMYCNS5_801.txt</v>
      </c>
    </row>
    <row r="71" spans="1:12" ht="105" x14ac:dyDescent="0.25">
      <c r="A71" t="s">
        <v>220</v>
      </c>
      <c r="B71" t="s">
        <v>221</v>
      </c>
      <c r="C71">
        <v>1962</v>
      </c>
      <c r="D71" t="s">
        <v>228</v>
      </c>
      <c r="E71" t="s">
        <v>229</v>
      </c>
      <c r="G71" t="s">
        <v>230</v>
      </c>
      <c r="H71" s="1" t="str">
        <f>_xlfn.TEXTJOIN(CHAR(10),FALSE, _xlfn.TEXTSPLIT(Table_textAnnotations[[#This Row],[Anno_Text]], "ABSATZ"))</f>
        <v>STECHENDER, scharf st. Schmerz15; Alum., Ars., Aur., Bell., Bor., Calc., Calc-p., Caust., Coc-c., Con., Croc., Glon., Graph., Ign., Kali-c., Lac-c., Meli., Merc., Murx., Nat-s., Nit-ac., Pall., Phos., Rhus-t., Sep., Staph., Sulf-ac., Tarant., Thuj.
[Fußnote] 15 engl. stitching
[...]
[Listenelement] Vulva, zwischen den Labien: Eupi. 
[Tab] Clitoris, nachts: Bor. [Borax veneta]</v>
      </c>
      <c r="I71" s="1" t="s">
        <v>1357</v>
      </c>
      <c r="J71" s="2" t="b">
        <v>0</v>
      </c>
      <c r="L71" t="str">
        <f>_xlfn.TEXTJOIN("_",TRUE,Table_textAnnotations[[#This Row],[Buch_Key]],Table_textAnnotations[[#This Row],[Anno_Key]],IF(ISBLANK(Table_textAnnotations[[#This Row],[Anno_Page_manuell]]),Table_textAnnotations[[#This Row],[Anno_Page_Auto]],Table_textAnnotations[[#This Row],[Anno_Page_manuell]]))&amp; ".txt"</f>
        <v>8CT4VIK6_XMTBHP52_801f.txt</v>
      </c>
    </row>
    <row r="72" spans="1:12" ht="150" x14ac:dyDescent="0.25">
      <c r="A72" t="s">
        <v>231</v>
      </c>
      <c r="B72" t="s">
        <v>232</v>
      </c>
      <c r="C72">
        <v>1963</v>
      </c>
      <c r="D72" t="s">
        <v>233</v>
      </c>
      <c r="E72" t="s">
        <v>234</v>
      </c>
      <c r="G72" t="s">
        <v>235</v>
      </c>
      <c r="H72" s="1" t="str">
        <f>_xlfn.TEXTJOIN(CHAR(10),FALSE, _xlfn.TEXTSPLIT(Table_textAnnotations[[#This Row],[Anno_Text]], "ABSATZ"))</f>
        <v>[Verlaufsform (der weiblichen Liebes-Unfähigkeit (Impotenz)):]
2 Frigidität
Gefühlskälte
[Definition:]
21 Es besteht Geschlechts-Trieb
22 Jedoch kann der Lustrausch nicht erlebt werden (Clitoris und andere sexuelle Sinnes-Organe nicht ausreichend erregbar [Clitoridale Impotenz])</v>
      </c>
      <c r="I72" s="1" t="s">
        <v>1358</v>
      </c>
      <c r="J72" s="2" t="b">
        <v>0</v>
      </c>
      <c r="L72" t="str">
        <f>_xlfn.TEXTJOIN("_",TRUE,Table_textAnnotations[[#This Row],[Buch_Key]],Table_textAnnotations[[#This Row],[Anno_Key]],IF(ISBLANK(Table_textAnnotations[[#This Row],[Anno_Page_manuell]]),Table_textAnnotations[[#This Row],[Anno_Page_Auto]],Table_textAnnotations[[#This Row],[Anno_Page_manuell]]))&amp; ".txt"</f>
        <v>T7N2ZT7H_4TCA4KJH_837.txt</v>
      </c>
    </row>
    <row r="73" spans="1:12" ht="135" x14ac:dyDescent="0.25">
      <c r="A73" t="s">
        <v>231</v>
      </c>
      <c r="B73" t="s">
        <v>232</v>
      </c>
      <c r="C73">
        <v>1963</v>
      </c>
      <c r="D73" t="s">
        <v>236</v>
      </c>
      <c r="E73" t="s">
        <v>234</v>
      </c>
      <c r="G73" t="s">
        <v>237</v>
      </c>
      <c r="H73" s="1" t="str">
        <f>_xlfn.TEXTJOIN(CHAR(10),FALSE, _xlfn.TEXTSPLIT(Table_textAnnotations[[#This Row],[Anno_Text]], "ABSATZ"))</f>
        <v>[Verlaufsform (der weiblichen Liebes-Unfähigkeit (Impotenz)):]
3 Dyspareunie
[Definition:]
31 Es besteht Geschlechts-Trieb
32 Orgasmus-Fähigkeit bei starker Reizung der Clitoris vorhanden
33 Reizung der Scheide bringt kein Lusterlebnis (Vaginale Impotenz)</v>
      </c>
      <c r="I73" s="1" t="s">
        <v>1359</v>
      </c>
      <c r="J73" s="2" t="b">
        <v>0</v>
      </c>
      <c r="L73" t="str">
        <f>_xlfn.TEXTJOIN("_",TRUE,Table_textAnnotations[[#This Row],[Buch_Key]],Table_textAnnotations[[#This Row],[Anno_Key]],IF(ISBLANK(Table_textAnnotations[[#This Row],[Anno_Page_manuell]]),Table_textAnnotations[[#This Row],[Anno_Page_Auto]],Table_textAnnotations[[#This Row],[Anno_Page_manuell]]))&amp; ".txt"</f>
        <v>T7N2ZT7H_J2UIXLBL_837.txt</v>
      </c>
    </row>
    <row r="74" spans="1:12" ht="45" x14ac:dyDescent="0.25">
      <c r="A74" t="s">
        <v>231</v>
      </c>
      <c r="B74" t="s">
        <v>232</v>
      </c>
      <c r="C74">
        <v>1963</v>
      </c>
      <c r="D74" t="s">
        <v>238</v>
      </c>
      <c r="E74" t="s">
        <v>234</v>
      </c>
      <c r="G74" t="s">
        <v>239</v>
      </c>
      <c r="H74" s="1" t="str">
        <f>_xlfn.TEXTJOIN(CHAR(10),FALSE, _xlfn.TEXTSPLIT(Table_textAnnotations[[#This Row],[Anno_Text]], "ABSATZ"))</f>
        <v>[Kontext: Heilplan bei weiblicher Liebes-Unfähigkeit, Punkt 2 Reform des ehelichen Geschlechts-Lebens]
24 Nur Coitus-Techniken anwenden, bei denen jede Reizung der Clitoris unterbleibt. Clitoris-Reizung macht frigide, erzieht zu vaginaler Impotenz!</v>
      </c>
      <c r="I74" s="1" t="s">
        <v>1324</v>
      </c>
      <c r="J74" s="2" t="b">
        <v>0</v>
      </c>
      <c r="L74" t="str">
        <f>_xlfn.TEXTJOIN("_",TRUE,Table_textAnnotations[[#This Row],[Buch_Key]],Table_textAnnotations[[#This Row],[Anno_Key]],IF(ISBLANK(Table_textAnnotations[[#This Row],[Anno_Page_manuell]]),Table_textAnnotations[[#This Row],[Anno_Page_Auto]],Table_textAnnotations[[#This Row],[Anno_Page_manuell]]))&amp; ".txt"</f>
        <v>T7N2ZT7H_QGWW9XL3_837.txt</v>
      </c>
    </row>
    <row r="75" spans="1:12" ht="45" x14ac:dyDescent="0.25">
      <c r="A75" t="s">
        <v>231</v>
      </c>
      <c r="B75" t="s">
        <v>232</v>
      </c>
      <c r="C75">
        <v>1963</v>
      </c>
      <c r="D75" t="s">
        <v>240</v>
      </c>
      <c r="E75" t="s">
        <v>234</v>
      </c>
      <c r="G75" t="s">
        <v>241</v>
      </c>
      <c r="H75" s="1" t="str">
        <f>_xlfn.TEXTJOIN(CHAR(10),FALSE, _xlfn.TEXTSPLIT(Table_textAnnotations[[#This Row],[Anno_Text]], "ABSATZ"))</f>
        <v>[Kontext: Ursachen der weiblichen Liebes-Unfähigkeit, Befund 9 Falsche Coitus-Technik]
91 Gattin verlangt nach aktiver Rolle beim Coitus (Reithaltung), weil in anderen Lagen Clitorisreiz ungenügend ist. Überhaupt: Die dem Gatten gewohnte Routine wird abgelehnt, Abwechslungs-Verlangen!</v>
      </c>
      <c r="I75" s="1" t="s">
        <v>1325</v>
      </c>
      <c r="J75" s="2" t="b">
        <v>0</v>
      </c>
      <c r="L75" t="str">
        <f>_xlfn.TEXTJOIN("_",TRUE,Table_textAnnotations[[#This Row],[Buch_Key]],Table_textAnnotations[[#This Row],[Anno_Key]],IF(ISBLANK(Table_textAnnotations[[#This Row],[Anno_Page_manuell]]),Table_textAnnotations[[#This Row],[Anno_Page_Auto]],Table_textAnnotations[[#This Row],[Anno_Page_manuell]]))&amp; ".txt"</f>
        <v>T7N2ZT7H_LK5E9GDS_837.txt</v>
      </c>
    </row>
    <row r="76" spans="1:12" ht="90" x14ac:dyDescent="0.25">
      <c r="A76" t="s">
        <v>231</v>
      </c>
      <c r="B76" t="s">
        <v>232</v>
      </c>
      <c r="C76">
        <v>1963</v>
      </c>
      <c r="D76" t="s">
        <v>242</v>
      </c>
      <c r="E76" t="s">
        <v>243</v>
      </c>
      <c r="G76" t="s">
        <v>244</v>
      </c>
      <c r="H76" s="1" t="str">
        <f>_xlfn.TEXTJOIN(CHAR(10),FALSE, _xlfn.TEXTSPLIT(Table_textAnnotations[[#This Row],[Anno_Text]], "ABSATZ"))</f>
        <v>Lendan Wicke) (oder auch Bauch-Wickel) heiß (Dauer eine Stunde). Dem Wickelwasser sind betrufMkonzentrierte Abkochungen von  Elcheninde (CortexQuercus Majoran-Kaut (Herba Majoranae) C Melasen Kieut (Herba Melissa)  b Kamiller-Ben(Flores Camomile) E Schalparben-Kraut (Herba MiDelol)  Evtalvetus-Bianer (olia Eucalyp Brenner-Kreut perba Unicas) AmikaButen (Flores Armicae) Die genannten Oragen können einzeln und abwechselnd oder aber auch in beliebiger Mischung bipelugt werden Aratelle der Tee-Abkochungen können auch Tinkturen vaw. (1-2 Teelöffel ja Liter  Wissendung finden.Außerdem sind geeignet  Sol Bad (Sone! K Moer-Bad(Seite 124)  LwellereArznei-Bader nach Spalte 75 In Selle 1171</v>
      </c>
      <c r="I76" s="1" t="s">
        <v>244</v>
      </c>
      <c r="J76" s="2" t="b">
        <v>0</v>
      </c>
      <c r="L76" t="str">
        <f>_xlfn.TEXTJOIN("_",TRUE,Table_textAnnotations[[#This Row],[Buch_Key]],Table_textAnnotations[[#This Row],[Anno_Key]],IF(ISBLANK(Table_textAnnotations[[#This Row],[Anno_Page_manuell]]),Table_textAnnotations[[#This Row],[Anno_Page_Auto]],Table_textAnnotations[[#This Row],[Anno_Page_manuell]]))&amp; ".txt"</f>
        <v>T7N2ZT7H_5QGKNZRV_857.txt</v>
      </c>
    </row>
    <row r="77" spans="1:12" ht="45" x14ac:dyDescent="0.25">
      <c r="A77" t="s">
        <v>245</v>
      </c>
      <c r="B77" t="s">
        <v>246</v>
      </c>
      <c r="C77">
        <v>1965</v>
      </c>
      <c r="D77" t="s">
        <v>247</v>
      </c>
      <c r="E77" t="s">
        <v>248</v>
      </c>
      <c r="G77" t="s">
        <v>249</v>
      </c>
      <c r="H77" s="1" t="str">
        <f>_xlfn.TEXTJOIN(CHAR(10),FALSE, _xlfn.TEXTSPLIT(Table_textAnnotations[[#This Row],[Anno_Text]], "ABSATZ"))</f>
        <v>Die weibliche Geschlechtsvorrichtung besteht aus den beiden  Eierstöcken, den beiden dazugehörigen Eileitern, der Gebärmutter, der Scheide und den Schleimdrüsen der Frau, glandulae vestibulares majores genannt, und weiterhin aus den  äußeren Geschlechtsteilen, den kleinen Schamlippen, den groBen Schamlippen, dem Kitzler oder der Clitoris, sowie dem  Damm.</v>
      </c>
      <c r="I77" s="1" t="s">
        <v>249</v>
      </c>
      <c r="J77" s="2" t="b">
        <v>1</v>
      </c>
      <c r="L77" t="str">
        <f>_xlfn.TEXTJOIN("_",TRUE,Table_textAnnotations[[#This Row],[Buch_Key]],Table_textAnnotations[[#This Row],[Anno_Key]],IF(ISBLANK(Table_textAnnotations[[#This Row],[Anno_Page_manuell]]),Table_textAnnotations[[#This Row],[Anno_Page_Auto]],Table_textAnnotations[[#This Row],[Anno_Page_manuell]]))&amp; ".txt"</f>
        <v>W6K22MEC_Q82NA2MX_30.txt</v>
      </c>
    </row>
    <row r="78" spans="1:12" ht="75" x14ac:dyDescent="0.25">
      <c r="A78" t="s">
        <v>245</v>
      </c>
      <c r="B78" t="s">
        <v>246</v>
      </c>
      <c r="C78">
        <v>1965</v>
      </c>
      <c r="D78" t="s">
        <v>250</v>
      </c>
      <c r="E78" t="s">
        <v>251</v>
      </c>
      <c r="G78" t="s">
        <v>252</v>
      </c>
      <c r="H78" s="1" t="str">
        <f>_xlfn.TEXTJOIN(CHAR(10),FALSE, _xlfn.TEXTSPLIT(Table_textAnnotations[[#This Row],[Anno_Text]], "ABSATZ"))</f>
        <v>Die Vagina erweitert sich nach außen zum sogenannten  Introitus, zum Scheideneingang, dessen Fortsetzung die kleinen Schamlippen darstellen. Diese sind lappenähnliche Gebilde von stark unterschiedlicher Größe, Dicke und Länge. Sie  sind ebenso wie die großen Schamlippen mit Schwellkörpern  Iversehen, so daß sie bei geschlechtlicher Erregung stark rot,  heiß und prall werden können. Dies trifft auch für die grossen Schamlippen zu, die zwischen den Schenkeln liegende  Haut- und Fettpolster darstellen und die die kleinen Schamlippen meist fest umschließen.</v>
      </c>
      <c r="I78" s="1" t="s">
        <v>252</v>
      </c>
      <c r="J78" s="2" t="b">
        <v>1</v>
      </c>
      <c r="L78" t="str">
        <f>_xlfn.TEXTJOIN("_",TRUE,Table_textAnnotations[[#This Row],[Buch_Key]],Table_textAnnotations[[#This Row],[Anno_Key]],IF(ISBLANK(Table_textAnnotations[[#This Row],[Anno_Page_manuell]]),Table_textAnnotations[[#This Row],[Anno_Page_Auto]],Table_textAnnotations[[#This Row],[Anno_Page_manuell]]))&amp; ".txt"</f>
        <v>W6K22MEC_C2IHFVCJ_34.txt</v>
      </c>
    </row>
    <row r="79" spans="1:12" ht="60" x14ac:dyDescent="0.25">
      <c r="A79" t="s">
        <v>245</v>
      </c>
      <c r="B79" t="s">
        <v>246</v>
      </c>
      <c r="C79">
        <v>1965</v>
      </c>
      <c r="D79" t="s">
        <v>253</v>
      </c>
      <c r="E79" t="s">
        <v>254</v>
      </c>
      <c r="G79" t="s">
        <v>255</v>
      </c>
      <c r="H79" s="1" t="str">
        <f>_xlfn.TEXTJOIN(CHAR(10),FALSE, _xlfn.TEXTSPLIT(Table_textAnnotations[[#This Row],[Anno_Text]], "ABSATZ"))</f>
        <v>Dort, wo nach oben hin die kleinen Schamlippen zusammentreffen sitzt die Clitoris,, auch Kitzler genannt. Diesem  Organ kommt für die Lustlösung der Frau eine überaus  große Bedeutung zu. Denn entwicklungsgeschichtlich entspricht sie dem männlichen Penis, d. h. sie ist mit einem  Schwellkörper ausgestattet, daher in der Lage zu erigieren;  sie besitzt einen Kopf (Clitoriskopf oder glans clitoridis genannt) und wird von einer Hautfalte, die der Vorhaut des  Mannes entspricht, umgeben.</v>
      </c>
      <c r="I79" s="1" t="s">
        <v>255</v>
      </c>
      <c r="J79" s="2" t="b">
        <v>1</v>
      </c>
      <c r="L79" t="str">
        <f>_xlfn.TEXTJOIN("_",TRUE,Table_textAnnotations[[#This Row],[Buch_Key]],Table_textAnnotations[[#This Row],[Anno_Key]],IF(ISBLANK(Table_textAnnotations[[#This Row],[Anno_Page_manuell]]),Table_textAnnotations[[#This Row],[Anno_Page_Auto]],Table_textAnnotations[[#This Row],[Anno_Page_manuell]]))&amp; ".txt"</f>
        <v>W6K22MEC_9YIRTA4Z_35.txt</v>
      </c>
    </row>
    <row r="80" spans="1:12" ht="30" x14ac:dyDescent="0.25">
      <c r="A80" t="s">
        <v>245</v>
      </c>
      <c r="B80" t="s">
        <v>246</v>
      </c>
      <c r="C80">
        <v>1965</v>
      </c>
      <c r="D80" t="s">
        <v>256</v>
      </c>
      <c r="E80" t="s">
        <v>254</v>
      </c>
      <c r="G80" t="s">
        <v>257</v>
      </c>
      <c r="H80" s="1" t="str">
        <f>_xlfn.TEXTJOIN(CHAR(10),FALSE, _xlfn.TEXTSPLIT(Table_textAnnotations[[#This Row],[Anno_Text]], "ABSATZ"))</f>
        <v>Das Wichtigste aber ist, daß  der Clitoriskopf ebenso wie die glans penis reich mit Wolllustgefühlskörperchen ausgestattet ist, so daß in der Clitoris  das Schlüsselorgan für die weibliche Befriedigung beim Geschlechtsakt zu erblicken ist.</v>
      </c>
      <c r="I80" s="1" t="s">
        <v>257</v>
      </c>
      <c r="J80" s="2" t="b">
        <v>1</v>
      </c>
      <c r="L80" t="str">
        <f>_xlfn.TEXTJOIN("_",TRUE,Table_textAnnotations[[#This Row],[Buch_Key]],Table_textAnnotations[[#This Row],[Anno_Key]],IF(ISBLANK(Table_textAnnotations[[#This Row],[Anno_Page_manuell]]),Table_textAnnotations[[#This Row],[Anno_Page_Auto]],Table_textAnnotations[[#This Row],[Anno_Page_manuell]]))&amp; ".txt"</f>
        <v>W6K22MEC_3DY8GXEB_35.txt</v>
      </c>
    </row>
    <row r="81" spans="1:12" ht="30" x14ac:dyDescent="0.25">
      <c r="A81" t="s">
        <v>245</v>
      </c>
      <c r="B81" t="s">
        <v>246</v>
      </c>
      <c r="C81">
        <v>1965</v>
      </c>
      <c r="D81" t="s">
        <v>258</v>
      </c>
      <c r="E81" t="s">
        <v>254</v>
      </c>
      <c r="G81" t="s">
        <v>259</v>
      </c>
      <c r="H81" s="1" t="str">
        <f>_xlfn.TEXTJOIN(CHAR(10),FALSE, _xlfn.TEXTSPLIT(Table_textAnnotations[[#This Row],[Anno_Text]], "ABSATZ"))</f>
        <v>Die Größe der Clitoris ist sehr  unterschiedlich; sie schwankt zwischen einer solchen, die mit  der Fingerspitze kaum fühlbar ist, und Größen von mehreren Zentimetern. Im erigierten Zustand ist das Organ etwa  doppelt so groß als im Zustand der Erschlaffung.</v>
      </c>
      <c r="I81" s="1" t="s">
        <v>259</v>
      </c>
      <c r="J81" s="2" t="b">
        <v>1</v>
      </c>
      <c r="L81" t="str">
        <f>_xlfn.TEXTJOIN("_",TRUE,Table_textAnnotations[[#This Row],[Buch_Key]],Table_textAnnotations[[#This Row],[Anno_Key]],IF(ISBLANK(Table_textAnnotations[[#This Row],[Anno_Page_manuell]]),Table_textAnnotations[[#This Row],[Anno_Page_Auto]],Table_textAnnotations[[#This Row],[Anno_Page_manuell]]))&amp; ".txt"</f>
        <v>W6K22MEC_SX3HS7AL_35.txt</v>
      </c>
    </row>
    <row r="82" spans="1:12" ht="60" x14ac:dyDescent="0.25">
      <c r="A82" t="s">
        <v>245</v>
      </c>
      <c r="B82" t="s">
        <v>246</v>
      </c>
      <c r="C82">
        <v>1965</v>
      </c>
      <c r="D82" t="s">
        <v>260</v>
      </c>
      <c r="E82" t="s">
        <v>212</v>
      </c>
      <c r="G82" t="s">
        <v>261</v>
      </c>
      <c r="H82" s="1" t="str">
        <f>_xlfn.TEXTJOIN(CHAR(10),FALSE, _xlfn.TEXTSPLIT(Table_textAnnotations[[#This Row],[Anno_Text]], "ABSATZ"))</f>
        <v>Meist wird ein Zungenspiel um die Clitoris von jeder Frau als besonders erregend empfunden. Der Reiz ist häufig stark genug, um die Erregungskurve ziemlich steil in die Höhe zu leiten, aber nicht genügend stark, um befürchten zu lassen, daß dieses Spiel den Orgasmus herbeiführen könnte. Bei empfindungsärmeren Frauen wird allerdings eine Clitorisreizung mit Hilfe der Hand, das heißt eines Fingers angebracht.</v>
      </c>
      <c r="I82" s="1" t="s">
        <v>261</v>
      </c>
      <c r="J82" s="2" t="b">
        <v>1</v>
      </c>
      <c r="L82" t="str">
        <f>_xlfn.TEXTJOIN("_",TRUE,Table_textAnnotations[[#This Row],[Buch_Key]],Table_textAnnotations[[#This Row],[Anno_Key]],IF(ISBLANK(Table_textAnnotations[[#This Row],[Anno_Page_manuell]]),Table_textAnnotations[[#This Row],[Anno_Page_Auto]],Table_textAnnotations[[#This Row],[Anno_Page_manuell]]))&amp; ".txt"</f>
        <v>W6K22MEC_U5ZML536_115.txt</v>
      </c>
    </row>
    <row r="83" spans="1:12" ht="45" x14ac:dyDescent="0.25">
      <c r="A83" t="s">
        <v>245</v>
      </c>
      <c r="B83" t="s">
        <v>246</v>
      </c>
      <c r="C83">
        <v>1965</v>
      </c>
      <c r="D83" t="s">
        <v>262</v>
      </c>
      <c r="E83" t="s">
        <v>263</v>
      </c>
      <c r="G83" t="s">
        <v>264</v>
      </c>
      <c r="H83" s="1" t="str">
        <f>_xlfn.TEXTJOIN(CHAR(10),FALSE, _xlfn.TEXTSPLIT(Table_textAnnotations[[#This Row],[Anno_Text]], "ABSATZ"))</f>
        <v>Je nachdem, um welche  Stellungsart es sich handelt, dringt der Phallos tiefer oder weniger tief in die Scheide ein, berührt sein Schaft ihre Vorderwand intensiver als ihre Hinterwand oder umgekehrt und  wird beim Verkehr die Clitoris seinen Berührungsreiz mehr  oder weniger ausgesetzt.</v>
      </c>
      <c r="I83" s="1" t="s">
        <v>264</v>
      </c>
      <c r="J83" s="2" t="b">
        <v>0</v>
      </c>
      <c r="L83" t="str">
        <f>_xlfn.TEXTJOIN("_",TRUE,Table_textAnnotations[[#This Row],[Buch_Key]],Table_textAnnotations[[#This Row],[Anno_Key]],IF(ISBLANK(Table_textAnnotations[[#This Row],[Anno_Page_manuell]]),Table_textAnnotations[[#This Row],[Anno_Page_Auto]],Table_textAnnotations[[#This Row],[Anno_Page_manuell]]))&amp; ".txt"</f>
        <v>W6K22MEC_SY5REWCH_125.txt</v>
      </c>
    </row>
    <row r="84" spans="1:12" ht="90" x14ac:dyDescent="0.25">
      <c r="A84" t="s">
        <v>245</v>
      </c>
      <c r="B84" t="s">
        <v>246</v>
      </c>
      <c r="C84">
        <v>1965</v>
      </c>
      <c r="D84" t="s">
        <v>265</v>
      </c>
      <c r="E84" t="s">
        <v>266</v>
      </c>
      <c r="G84" t="s">
        <v>267</v>
      </c>
      <c r="H84" s="1" t="str">
        <f>_xlfn.TEXTJOIN(CHAR(10),FALSE, _xlfn.TEXTSPLIT(Table_textAnnotations[[#This Row],[Anno_Text]], "ABSATZ"))</f>
        <v>4. Steinschnittlage  Wieder eine Positio obversa, bei der die Frau wie in der  Normallage flach auf dem Rücken liegt. Die Schenkel sind  abgewinkelt und weit geöffnet. Der Mann liegt beinahe gestreckt zwischen den Schenkeln der Frau, leicht auf den Knien  aufgestützt, zur Stützung des Oberkörpers nicht die Ellbogen, sondern die Hände benützend. Die Arme sind leicht angewinkelt. Die Bewegungsfreiheit der Frau ist gering, die  des Mannes nur mäßig beeinträchtigt, die Befruchtungschancen sind sehr günstig. Der Vorteil dieser Stellung liegt in  der Tatsache, daß sich die Verschmelzung der Geschlechter  in einem nahezu vollkommenen Maß vollzieht. Es finden  Reibereize nicht nur innerhalb der Scheide, sondern auch an  den Labien und der Clitoris statt.</v>
      </c>
      <c r="I84" s="1" t="s">
        <v>267</v>
      </c>
      <c r="J84" s="2" t="b">
        <v>0</v>
      </c>
      <c r="L84" t="str">
        <f>_xlfn.TEXTJOIN("_",TRUE,Table_textAnnotations[[#This Row],[Buch_Key]],Table_textAnnotations[[#This Row],[Anno_Key]],IF(ISBLANK(Table_textAnnotations[[#This Row],[Anno_Page_manuell]]),Table_textAnnotations[[#This Row],[Anno_Page_Auto]],Table_textAnnotations[[#This Row],[Anno_Page_manuell]]))&amp; ".txt"</f>
        <v>W6K22MEC_K7SYAM33_132.txt</v>
      </c>
    </row>
    <row r="85" spans="1:12" ht="165" x14ac:dyDescent="0.25">
      <c r="A85" t="s">
        <v>245</v>
      </c>
      <c r="B85" t="s">
        <v>246</v>
      </c>
      <c r="C85">
        <v>1965</v>
      </c>
      <c r="D85" t="s">
        <v>268</v>
      </c>
      <c r="E85" t="s">
        <v>269</v>
      </c>
      <c r="G85" t="s">
        <v>270</v>
      </c>
      <c r="H85" s="1" t="str">
        <f>_xlfn.TEXTJOIN(CHAR(10),FALSE, _xlfn.TEXTSPLIT(Table_textAnnotations[[#This Row],[Anno_Text]], "ABSATZ"))</f>
        <v>[Kontext:]
10. Bauchlage
Bei dieser Stellung handelt es sich um die erste Positio aversa, die wir besprechen, also um die erste Lage, bei der der Vorderseite des Mannes die Rückseite der Frau zugekehrt ist. Die Frau liegt bei dieser Stellung auf dem Bauch, dabei ist unter ihr Becken ein Stützkissen geschoben. Das Becken ist weit emporgereckt, wobei sie sich leicht auf den Knien aufstützen kann. Ihre Beine sind geschlossen, der Gatte liegt auf ihrem Rücken und stützt sich mit Knien und Händen. Seine geöffneten Schenkel umfangen die geschlossenen Schenkel der Frau.
[...]
Die Möglichkeit des Austausches von Zärtlichkeiten ist gegeben. ebenso wie für den Mann bei fast allen Lagen, bei denen ihm die Gattin ihren Rücken zukehrt, die Möglichkeit besteht, während der Coitusbewegungen die Clitoris durch manuelle Manipulationen zu reizen und damit beizutragen, daß seine Frau den Orgasmus mit ihm gleichzeitig erlebt.</v>
      </c>
      <c r="I85" s="1" t="s">
        <v>1360</v>
      </c>
      <c r="J85" s="2" t="b">
        <v>0</v>
      </c>
      <c r="L85" t="str">
        <f>_xlfn.TEXTJOIN("_",TRUE,Table_textAnnotations[[#This Row],[Buch_Key]],Table_textAnnotations[[#This Row],[Anno_Key]],IF(ISBLANK(Table_textAnnotations[[#This Row],[Anno_Page_manuell]]),Table_textAnnotations[[#This Row],[Anno_Page_Auto]],Table_textAnnotations[[#This Row],[Anno_Page_manuell]]))&amp; ".txt"</f>
        <v>W6K22MEC_C8LAQHBD_137.txt</v>
      </c>
    </row>
    <row r="86" spans="1:12" ht="120" x14ac:dyDescent="0.25">
      <c r="A86" t="s">
        <v>245</v>
      </c>
      <c r="B86" t="s">
        <v>246</v>
      </c>
      <c r="C86">
        <v>1965</v>
      </c>
      <c r="D86" t="s">
        <v>271</v>
      </c>
      <c r="E86" t="s">
        <v>272</v>
      </c>
      <c r="G86" t="s">
        <v>273</v>
      </c>
      <c r="H86" s="1" t="str">
        <f>_xlfn.TEXTJOIN(CHAR(10),FALSE, _xlfn.TEXTSPLIT(Table_textAnnotations[[#This Row],[Anno_Text]], "ABSATZ"))</f>
        <v>Es gibt allerdings viele Ehefrauen, die selbst beim gekonntesten und kontrolliertesten Liebesakt des Mannes und bei  all seiner Einstellung, auch sie, die Frau, müsse den Höhepunkt erleben, durch den normalen Coitus nicht zur Lustlösung geführt werden können. Es sind Frauen, deren Lustlösung ausschließlich auf die Clitoris lokalisiert ist und die  nur durch eine kontinuierliche Clitorisreizung den Höhepunkt erreichen können. Das heißt nicht, daß sie nicht beim  Akt zu genießen fähig wären; nur reicht ihr Empfinden, trotz  aller Mühe und Anstrengungen von beiden Seiten, niemals  aus, auf diese Weise den Orgasmus auszulösen. In diesen Fällen kommt dem Mann die Pflicht zu, die Frau nach seinem  eigenen Orgasmus manuell oder linguell an der Clitoris solange in liebevoller Umarmung zu reizen, bis sie durch diese  Reizung der Lustlösung zugeführt wird. Ich betonte bereits  einmal, daß diese Maßnahme sogar seitens der katholischen  Moraltheologie als zulässig angesehen wird.</v>
      </c>
      <c r="I86" s="1" t="s">
        <v>273</v>
      </c>
      <c r="J86" s="2" t="b">
        <v>0</v>
      </c>
      <c r="L86" t="str">
        <f>_xlfn.TEXTJOIN("_",TRUE,Table_textAnnotations[[#This Row],[Buch_Key]],Table_textAnnotations[[#This Row],[Anno_Key]],IF(ISBLANK(Table_textAnnotations[[#This Row],[Anno_Page_manuell]]),Table_textAnnotations[[#This Row],[Anno_Page_Auto]],Table_textAnnotations[[#This Row],[Anno_Page_manuell]]))&amp; ".txt"</f>
        <v>W6K22MEC_PUCXMGYZ_153.txt</v>
      </c>
    </row>
    <row r="87" spans="1:12" ht="90" x14ac:dyDescent="0.25">
      <c r="A87" t="s">
        <v>274</v>
      </c>
      <c r="B87" t="s">
        <v>275</v>
      </c>
      <c r="C87">
        <v>1966</v>
      </c>
      <c r="D87" t="s">
        <v>276</v>
      </c>
      <c r="E87" t="s">
        <v>277</v>
      </c>
      <c r="G87" t="s">
        <v>278</v>
      </c>
      <c r="H87" s="1" t="str">
        <f>_xlfn.TEXTJOIN(CHAR(10),FALSE, _xlfn.TEXTSPLIT(Table_textAnnotations[[#This Row],[Anno_Text]], "ABSATZ"))</f>
        <v>[Kontext: Die XO-Gonadendysgenesie (Turner-Syndrom)]
Auch die Vulva und Clitoris sind meist hypoplastisch. Einzelne Fälle mit Gonadendysgenesie haben aber auch eine Klitorishypertrophie (MEYER 1925; BAER 1927; PICH 1936; GUINET u. Mitarb. 1954; GRUMBACH u. Mitarb. 1955; GORDAN u. Mitarb. 1955; STANGE u. Mitarb. 1957). Man vermutet, daß nicht die Gonaden, sondern die Nebennieren diese Hypertrophie auslösen (HAUSER 1960). Zumindest sind die 17-Ketosteroide bei diesen Patientinnen normal und nicht wie sonst bei der Gonadendysgenesie erniedrigt.</v>
      </c>
      <c r="I87" s="1" t="s">
        <v>1361</v>
      </c>
      <c r="J87" s="2" t="b">
        <v>1</v>
      </c>
      <c r="K87" t="s">
        <v>1320</v>
      </c>
      <c r="L87" t="str">
        <f>_xlfn.TEXTJOIN("_",TRUE,Table_textAnnotations[[#This Row],[Buch_Key]],Table_textAnnotations[[#This Row],[Anno_Key]],IF(ISBLANK(Table_textAnnotations[[#This Row],[Anno_Page_manuell]]),Table_textAnnotations[[#This Row],[Anno_Page_Auto]],Table_textAnnotations[[#This Row],[Anno_Page_manuell]]))&amp; ".txt"</f>
        <v>P6MMC6BZ_P6MXQMDW_161.txt</v>
      </c>
    </row>
    <row r="88" spans="1:12" ht="30" x14ac:dyDescent="0.25">
      <c r="A88" t="s">
        <v>279</v>
      </c>
      <c r="B88" t="s">
        <v>280</v>
      </c>
      <c r="C88">
        <v>1966</v>
      </c>
      <c r="D88" t="s">
        <v>281</v>
      </c>
      <c r="E88" t="s">
        <v>190</v>
      </c>
      <c r="G88" t="s">
        <v>282</v>
      </c>
      <c r="H88" s="1" t="str">
        <f>_xlfn.TEXTJOIN(CHAR(10),FALSE, _xlfn.TEXTSPLIT(Table_textAnnotations[[#This Row],[Anno_Text]], "ABSATZ"))</f>
        <v>Beide [kleinen] Schamlippen laufen bauchwärts in zwei kleine Falten aus, die sich in der Mitte an der Stelle des Kitzlers (Clitoris) treffen. Dieser ist ein echter Schwellkörper und das Gegenstück zum Penisschwellkörper.</v>
      </c>
      <c r="I88" s="1" t="s">
        <v>282</v>
      </c>
      <c r="J88" s="2" t="b">
        <v>1</v>
      </c>
      <c r="L88" t="str">
        <f>_xlfn.TEXTJOIN("_",TRUE,Table_textAnnotations[[#This Row],[Buch_Key]],Table_textAnnotations[[#This Row],[Anno_Key]],IF(ISBLANK(Table_textAnnotations[[#This Row],[Anno_Page_manuell]]),Table_textAnnotations[[#This Row],[Anno_Page_Auto]],Table_textAnnotations[[#This Row],[Anno_Page_manuell]]))&amp; ".txt"</f>
        <v>4BZQSBPT_MF3QK94J_110.txt</v>
      </c>
    </row>
    <row r="89" spans="1:12" ht="30" x14ac:dyDescent="0.25">
      <c r="A89" t="s">
        <v>283</v>
      </c>
      <c r="B89" t="s">
        <v>284</v>
      </c>
      <c r="C89">
        <v>1967</v>
      </c>
      <c r="D89" t="s">
        <v>285</v>
      </c>
      <c r="E89" t="s">
        <v>286</v>
      </c>
      <c r="F89">
        <v>76</v>
      </c>
      <c r="G89" t="s">
        <v>287</v>
      </c>
      <c r="H89" s="1" t="str">
        <f>_xlfn.TEXTJOIN(CHAR(10),FALSE, _xlfn.TEXTSPLIT(Table_textAnnotations[[#This Row],[Anno_Text]], "ABSATZ"))</f>
        <v>Bei der liegenden Frau sieht man oberhalb des Scheideneinganges die Harnröhrenöffnung und darüber das sensible Reizorgan, den Kitzler (Clitoris).</v>
      </c>
      <c r="I89" s="1" t="s">
        <v>287</v>
      </c>
      <c r="J89" s="2" t="b">
        <v>1</v>
      </c>
      <c r="L89" t="str">
        <f>_xlfn.TEXTJOIN("_",TRUE,Table_textAnnotations[[#This Row],[Buch_Key]],Table_textAnnotations[[#This Row],[Anno_Key]],IF(ISBLANK(Table_textAnnotations[[#This Row],[Anno_Page_manuell]]),Table_textAnnotations[[#This Row],[Anno_Page_Auto]],Table_textAnnotations[[#This Row],[Anno_Page_manuell]]))&amp; ".txt"</f>
        <v>FRAK6SZ4_FY6UFJ64_76.txt</v>
      </c>
    </row>
    <row r="90" spans="1:12" x14ac:dyDescent="0.25">
      <c r="A90" t="s">
        <v>288</v>
      </c>
      <c r="B90" t="s">
        <v>289</v>
      </c>
      <c r="C90">
        <v>1968</v>
      </c>
      <c r="D90" t="s">
        <v>290</v>
      </c>
      <c r="E90" t="s">
        <v>291</v>
      </c>
      <c r="G90" t="s">
        <v>292</v>
      </c>
      <c r="H90" s="1" t="str">
        <f>_xlfn.TEXTJOIN(CHAR(10),FALSE, _xlfn.TEXTSPLIT(Table_textAnnotations[[#This Row],[Anno_Text]], "ABSATZ"))</f>
        <v>Die kleinen Schamlippen umhüllen vorn den Kitzler (Klitoris).</v>
      </c>
      <c r="I90" s="1" t="s">
        <v>292</v>
      </c>
      <c r="J90" s="2" t="b">
        <v>1</v>
      </c>
      <c r="L90" t="str">
        <f>_xlfn.TEXTJOIN("_",TRUE,Table_textAnnotations[[#This Row],[Buch_Key]],Table_textAnnotations[[#This Row],[Anno_Key]],IF(ISBLANK(Table_textAnnotations[[#This Row],[Anno_Page_manuell]]),Table_textAnnotations[[#This Row],[Anno_Page_Auto]],Table_textAnnotations[[#This Row],[Anno_Page_manuell]]))&amp; ".txt"</f>
        <v>K9PE7T2R_S2V4NDR3_703.txt</v>
      </c>
    </row>
    <row r="91" spans="1:12" ht="45" x14ac:dyDescent="0.25">
      <c r="A91" t="s">
        <v>288</v>
      </c>
      <c r="B91" t="s">
        <v>289</v>
      </c>
      <c r="C91">
        <v>1968</v>
      </c>
      <c r="D91" t="s">
        <v>293</v>
      </c>
      <c r="E91" t="s">
        <v>291</v>
      </c>
      <c r="G91" t="s">
        <v>294</v>
      </c>
      <c r="H91" s="1" t="str">
        <f>_xlfn.TEXTJOIN(CHAR(10),FALSE, _xlfn.TEXTSPLIT(Table_textAnnotations[[#This Row],[Anno_Text]], "ABSATZ"))</f>
        <v>Die großen Schamlippen verschließen bei einer gesunden Frau, die noch nicht geboren  hat, den Eingang der Scheide. Sie stellen zwei Hautfalten dar, die mit Fett gut unterpolstert sind. Darunter befindet sich je ein sogenannter Schwellkörper, ein erweitertes  System des venösen Anteils des Blutkreislaufes. Durch starken Blutzufluß in diese  Schwellkörper werden die großen Schamlippen prall gespannt.</v>
      </c>
      <c r="I91" s="1" t="s">
        <v>294</v>
      </c>
      <c r="J91" s="2" t="b">
        <v>1</v>
      </c>
      <c r="L91" t="str">
        <f>_xlfn.TEXTJOIN("_",TRUE,Table_textAnnotations[[#This Row],[Buch_Key]],Table_textAnnotations[[#This Row],[Anno_Key]],IF(ISBLANK(Table_textAnnotations[[#This Row],[Anno_Page_manuell]]),Table_textAnnotations[[#This Row],[Anno_Page_Auto]],Table_textAnnotations[[#This Row],[Anno_Page_manuell]]))&amp; ".txt"</f>
        <v>K9PE7T2R_PBYPFVJW_703.txt</v>
      </c>
    </row>
    <row r="92" spans="1:12" ht="60" x14ac:dyDescent="0.25">
      <c r="A92" t="s">
        <v>288</v>
      </c>
      <c r="B92" t="s">
        <v>289</v>
      </c>
      <c r="C92">
        <v>1968</v>
      </c>
      <c r="D92" t="s">
        <v>295</v>
      </c>
      <c r="E92" t="s">
        <v>291</v>
      </c>
      <c r="G92" t="s">
        <v>296</v>
      </c>
      <c r="H92" s="1" t="str">
        <f>_xlfn.TEXTJOIN(CHAR(10),FALSE, _xlfn.TEXTSPLIT(Table_textAnnotations[[#This Row],[Anno_Text]], "ABSATZ"))</f>
        <v>Unter den großen Schamlippen befinden sich die kleinen. Sie unterscheiden sich von den großen dadurch, daß  sie lediglich eine Hautfalte darstellen, ohne Fettpolsterung und ohne Schwellkörper. Sie sind daher nicht prall, sondern schlaff und beweglich. Ganz vorn umschließen sie, ein Häubchen bildend, den Kitzler. Dieser ist ein festerer, erbsengroßer Höcker, ein an Blutgefäßen und Nerven reicher Schwellkörper, und dient bei entsprechender  Reizung in ganz besonderem Maße der Erregung des Geschlechtsempfindens.</v>
      </c>
      <c r="I92" s="1" t="s">
        <v>296</v>
      </c>
      <c r="J92" s="2" t="b">
        <v>1</v>
      </c>
      <c r="L92" t="str">
        <f>_xlfn.TEXTJOIN("_",TRUE,Table_textAnnotations[[#This Row],[Buch_Key]],Table_textAnnotations[[#This Row],[Anno_Key]],IF(ISBLANK(Table_textAnnotations[[#This Row],[Anno_Page_manuell]]),Table_textAnnotations[[#This Row],[Anno_Page_Auto]],Table_textAnnotations[[#This Row],[Anno_Page_manuell]]))&amp; ".txt"</f>
        <v>K9PE7T2R_QXET62GJ_703.txt</v>
      </c>
    </row>
    <row r="93" spans="1:12" ht="60" x14ac:dyDescent="0.25">
      <c r="A93" t="s">
        <v>288</v>
      </c>
      <c r="B93" t="s">
        <v>289</v>
      </c>
      <c r="C93">
        <v>1968</v>
      </c>
      <c r="D93" t="s">
        <v>297</v>
      </c>
      <c r="E93" t="s">
        <v>298</v>
      </c>
      <c r="G93" t="s">
        <v>299</v>
      </c>
      <c r="H93" s="1" t="str">
        <f>_xlfn.TEXTJOIN(CHAR(10),FALSE, _xlfn.TEXTSPLIT(Table_textAnnotations[[#This Row],[Anno_Text]], "ABSATZ"))</f>
        <v>Es ist bekannt, daß allein schon die Berührung  zwischen Mann und Frau außerhalb des Genitales zum Geschlechtsreiz führen kann,  den endgültigen erregenden Reiz aber verursacht erst die Berührung des Kitzlers  (Klitoris). Er ist mit einem äußerst empfindlichen Nervensystem ausgestattet. Ist der  Kitzler einer gewissen Reizempfindung schon bei dem kleinen Mädchen fähig, so kommt  es zum vollen Empfindungsvermögen erst mit dem Eintritt der Geschlechtsreife.</v>
      </c>
      <c r="I93" s="1" t="s">
        <v>299</v>
      </c>
      <c r="J93" s="2" t="b">
        <v>1</v>
      </c>
      <c r="L93" t="str">
        <f>_xlfn.TEXTJOIN("_",TRUE,Table_textAnnotations[[#This Row],[Buch_Key]],Table_textAnnotations[[#This Row],[Anno_Key]],IF(ISBLANK(Table_textAnnotations[[#This Row],[Anno_Page_manuell]]),Table_textAnnotations[[#This Row],[Anno_Page_Auto]],Table_textAnnotations[[#This Row],[Anno_Page_manuell]]))&amp; ".txt"</f>
        <v>K9PE7T2R_L2JVNPVX_708.txt</v>
      </c>
    </row>
    <row r="94" spans="1:12" ht="30" x14ac:dyDescent="0.25">
      <c r="A94" t="s">
        <v>288</v>
      </c>
      <c r="B94" t="s">
        <v>289</v>
      </c>
      <c r="C94">
        <v>1968</v>
      </c>
      <c r="D94" t="s">
        <v>300</v>
      </c>
      <c r="E94" t="s">
        <v>298</v>
      </c>
      <c r="G94" t="s">
        <v>301</v>
      </c>
      <c r="H94" s="1" t="str">
        <f>_xlfn.TEXTJOIN(CHAR(10),FALSE, _xlfn.TEXTSPLIT(Table_textAnnotations[[#This Row],[Anno_Text]], "ABSATZ"))</f>
        <v>Durch den  Geschlechtsreiz füllen sich die Schwellkörper mit Blut. Da die Schwellkörper unter dem  Fettpolster der großen Schamlippen liegen, spannen sich diese und bilden damit einen  festen und begrenzten Eingang zum Genitale.</v>
      </c>
      <c r="I94" s="1" t="s">
        <v>301</v>
      </c>
      <c r="J94" s="2" t="b">
        <v>1</v>
      </c>
      <c r="L94" t="str">
        <f>_xlfn.TEXTJOIN("_",TRUE,Table_textAnnotations[[#This Row],[Buch_Key]],Table_textAnnotations[[#This Row],[Anno_Key]],IF(ISBLANK(Table_textAnnotations[[#This Row],[Anno_Page_manuell]]),Table_textAnnotations[[#This Row],[Anno_Page_Auto]],Table_textAnnotations[[#This Row],[Anno_Page_manuell]]))&amp; ".txt"</f>
        <v>K9PE7T2R_BFENA54U_708.txt</v>
      </c>
    </row>
    <row r="95" spans="1:12" ht="45" x14ac:dyDescent="0.25">
      <c r="A95" t="s">
        <v>288</v>
      </c>
      <c r="B95" t="s">
        <v>289</v>
      </c>
      <c r="C95">
        <v>1968</v>
      </c>
      <c r="D95" t="s">
        <v>302</v>
      </c>
      <c r="E95" t="s">
        <v>303</v>
      </c>
      <c r="G95" t="s">
        <v>304</v>
      </c>
      <c r="H95" s="1" t="str">
        <f>_xlfn.TEXTJOIN(CHAR(10),FALSE, _xlfn.TEXTSPLIT(Table_textAnnotations[[#This Row],[Anno_Text]], "ABSATZ"))</f>
        <v>Bisweilen schon sehr frühzeitig und zunächst noch unbewußt findet das Kind dabei auch den besonderen Reiz der berührungsempfindlichen  Stellen der eigenen Geschlechtsgegend heraus. Es sind dies bei den Jungen die Eichel des männlichen Gliedes und bei den Mädchen hauptsächlich der Kitzler (Klitoris).</v>
      </c>
      <c r="I95" s="1" t="s">
        <v>304</v>
      </c>
      <c r="J95" s="2" t="b">
        <v>1</v>
      </c>
      <c r="L95" t="str">
        <f>_xlfn.TEXTJOIN("_",TRUE,Table_textAnnotations[[#This Row],[Buch_Key]],Table_textAnnotations[[#This Row],[Anno_Key]],IF(ISBLANK(Table_textAnnotations[[#This Row],[Anno_Page_manuell]]),Table_textAnnotations[[#This Row],[Anno_Page_Auto]],Table_textAnnotations[[#This Row],[Anno_Page_manuell]]))&amp; ".txt"</f>
        <v>K9PE7T2R_5K653XDC_722.txt</v>
      </c>
    </row>
    <row r="96" spans="1:12" ht="45" x14ac:dyDescent="0.25">
      <c r="A96" t="s">
        <v>288</v>
      </c>
      <c r="B96" t="s">
        <v>289</v>
      </c>
      <c r="C96">
        <v>1968</v>
      </c>
      <c r="D96" t="s">
        <v>305</v>
      </c>
      <c r="E96" t="s">
        <v>306</v>
      </c>
      <c r="G96" t="s">
        <v>307</v>
      </c>
      <c r="H96" s="1" t="str">
        <f>_xlfn.TEXTJOIN(CHAR(10),FALSE, _xlfn.TEXTSPLIT(Table_textAnnotations[[#This Row],[Anno_Text]], "ABSATZ"))</f>
        <v>Krebsvorkommen im Bereiche des weiblichen Genitale  1. an Schamlippen und Kitzler Kleine Knoten oder Geschwüre mit derber Umgebung. Oft frühzeitiger Befall der Leistendrüsen.  Die Erkrankte verspürt meist Jucken, gelegentlich Schmerzen oder wird aufmerksam durch Blutungen.</v>
      </c>
      <c r="I96" s="1" t="s">
        <v>307</v>
      </c>
      <c r="J96" s="2" t="b">
        <v>0</v>
      </c>
      <c r="L96" t="str">
        <f>_xlfn.TEXTJOIN("_",TRUE,Table_textAnnotations[[#This Row],[Buch_Key]],Table_textAnnotations[[#This Row],[Anno_Key]],IF(ISBLANK(Table_textAnnotations[[#This Row],[Anno_Page_manuell]]),Table_textAnnotations[[#This Row],[Anno_Page_Auto]],Table_textAnnotations[[#This Row],[Anno_Page_manuell]]))&amp; ".txt"</f>
        <v>K9PE7T2R_6A7XUAGR_794.txt</v>
      </c>
    </row>
    <row r="97" spans="1:12" x14ac:dyDescent="0.25">
      <c r="A97" t="s">
        <v>308</v>
      </c>
      <c r="B97" t="s">
        <v>309</v>
      </c>
      <c r="C97">
        <v>1969</v>
      </c>
      <c r="D97" t="s">
        <v>310</v>
      </c>
      <c r="E97" t="s">
        <v>10</v>
      </c>
      <c r="G97" t="s">
        <v>311</v>
      </c>
      <c r="H97" s="1" t="str">
        <f>_xlfn.TEXTJOIN(CHAR(10),FALSE, _xlfn.TEXTSPLIT(Table_textAnnotations[[#This Row],[Anno_Text]], "ABSATZ"))</f>
        <v>Das Wachstum der Clitoris und die Produktion  von Smegma wird überwiegend durch Androgeneinfluß gefördert.</v>
      </c>
      <c r="I97" s="1" t="s">
        <v>311</v>
      </c>
      <c r="J97" s="2" t="b">
        <v>1</v>
      </c>
      <c r="L97" t="str">
        <f>_xlfn.TEXTJOIN("_",TRUE,Table_textAnnotations[[#This Row],[Buch_Key]],Table_textAnnotations[[#This Row],[Anno_Key]],IF(ISBLANK(Table_textAnnotations[[#This Row],[Anno_Page_manuell]]),Table_textAnnotations[[#This Row],[Anno_Page_Auto]],Table_textAnnotations[[#This Row],[Anno_Page_manuell]]))&amp; ".txt"</f>
        <v>JFUC8MFI_RFB4IRU6_2.txt</v>
      </c>
    </row>
    <row r="98" spans="1:12" ht="60" x14ac:dyDescent="0.25">
      <c r="A98" t="s">
        <v>308</v>
      </c>
      <c r="B98" t="s">
        <v>309</v>
      </c>
      <c r="C98">
        <v>1969</v>
      </c>
      <c r="D98" t="s">
        <v>312</v>
      </c>
      <c r="E98" t="s">
        <v>10</v>
      </c>
      <c r="G98" t="s">
        <v>313</v>
      </c>
      <c r="H98" s="1" t="str">
        <f>_xlfn.TEXTJOIN(CHAR(10),FALSE, _xlfn.TEXTSPLIT(Table_textAnnotations[[#This Row],[Anno_Text]], "ABSATZ"))</f>
        <v>Selbst hohe Dosen von exogen zugeführten Progesteron können bei normalem  Stoffwechsel keine Virilisierungserscheinungen an der Frau hervorrufen. Das  gleiche gilt für die übrigen Pregnenderivate. Dagegen können die gestagen wirksamen Derivate des Testosterons, wie z. B. das 17α-Äthinyltestosteron (Ethisteron), das Dimethisteron und das Normethandrolon nach längerer Einnahme eine Clitorishypertrophie und einen männlichen Behaarungstyp am äußeren Genitale zur Ausbildung bringen [67, 125, 271, 272].</v>
      </c>
      <c r="I98" s="1" t="s">
        <v>313</v>
      </c>
      <c r="J98" s="2" t="b">
        <v>0</v>
      </c>
      <c r="L98" t="str">
        <f>_xlfn.TEXTJOIN("_",TRUE,Table_textAnnotations[[#This Row],[Buch_Key]],Table_textAnnotations[[#This Row],[Anno_Key]],IF(ISBLANK(Table_textAnnotations[[#This Row],[Anno_Page_manuell]]),Table_textAnnotations[[#This Row],[Anno_Page_Auto]],Table_textAnnotations[[#This Row],[Anno_Page_manuell]]))&amp; ".txt"</f>
        <v>JFUC8MFI_TKRTG36U_2.txt</v>
      </c>
    </row>
    <row r="99" spans="1:12" x14ac:dyDescent="0.25">
      <c r="A99" t="s">
        <v>314</v>
      </c>
      <c r="B99" t="s">
        <v>315</v>
      </c>
      <c r="C99">
        <v>1971</v>
      </c>
      <c r="D99" t="s">
        <v>316</v>
      </c>
      <c r="E99" t="s">
        <v>317</v>
      </c>
      <c r="G99" t="s">
        <v>318</v>
      </c>
      <c r="H99" s="1" t="str">
        <f>_xlfn.TEXTJOIN(CHAR(10),FALSE, _xlfn.TEXTSPLIT(Table_textAnnotations[[#This Row],[Anno_Text]], "ABSATZ"))</f>
        <v>Weibliche Geschlechtsorgane innere äußere  Eierstöcke, Eileiter, Gebärmutter, Scheide  kleine Schamlippen, große Schamlippen</v>
      </c>
      <c r="I99" s="1" t="s">
        <v>318</v>
      </c>
      <c r="J99" s="2" t="b">
        <v>0</v>
      </c>
      <c r="K99" t="s">
        <v>1318</v>
      </c>
      <c r="L99" t="str">
        <f>_xlfn.TEXTJOIN("_",TRUE,Table_textAnnotations[[#This Row],[Buch_Key]],Table_textAnnotations[[#This Row],[Anno_Key]],IF(ISBLANK(Table_textAnnotations[[#This Row],[Anno_Page_manuell]]),Table_textAnnotations[[#This Row],[Anno_Page_Auto]],Table_textAnnotations[[#This Row],[Anno_Page_manuell]]))&amp; ".txt"</f>
        <v>CJZQFQWE_7GZMXFQ8_168.txt</v>
      </c>
    </row>
    <row r="100" spans="1:12" ht="75" x14ac:dyDescent="0.25">
      <c r="A100" t="s">
        <v>319</v>
      </c>
      <c r="B100" t="s">
        <v>320</v>
      </c>
      <c r="C100">
        <v>1973</v>
      </c>
      <c r="D100" t="s">
        <v>321</v>
      </c>
      <c r="E100" t="s">
        <v>322</v>
      </c>
      <c r="F100">
        <v>20</v>
      </c>
      <c r="G100" t="s">
        <v>323</v>
      </c>
      <c r="H100" s="1" t="str">
        <f>_xlfn.TEXTJOIN(CHAR(10),FALSE, _xlfn.TEXTSPLIT(Table_textAnnotations[[#This Row],[Anno_Text]], "ABSATZ"))</f>
        <v>IV d) Die nachfolgenden Tabellen zeigen den in den Kapiteln ( IV b ) erläuterten Diagnoseschlüssel in seiner Gesamtheit, wie er bei der vorliegenden Untersuchung benutzt worden ist. 100 Mißbildungen, Entwicklungsfehler, Lageveränderungen
1o Vulva
11o Aplasie 111 Hypoplasie 112 113 Verdoppelung der Klitoris u.d. kleinen Labien (sog. Paranymphen ) 114 115 Cyste des Gartner, Wolffschen Ganges 116 Deszensus 117</v>
      </c>
      <c r="I100" s="1" t="s">
        <v>1326</v>
      </c>
      <c r="J100" s="2" t="b">
        <v>0</v>
      </c>
      <c r="L100" t="str">
        <f>_xlfn.TEXTJOIN("_",TRUE,Table_textAnnotations[[#This Row],[Buch_Key]],Table_textAnnotations[[#This Row],[Anno_Key]],IF(ISBLANK(Table_textAnnotations[[#This Row],[Anno_Page_manuell]]),Table_textAnnotations[[#This Row],[Anno_Page_Auto]],Table_textAnnotations[[#This Row],[Anno_Page_manuell]]))&amp; ".txt"</f>
        <v>G3DC7T9F_8B6CSMHB_20.txt</v>
      </c>
    </row>
    <row r="101" spans="1:12" ht="120" x14ac:dyDescent="0.25">
      <c r="A101" t="s">
        <v>324</v>
      </c>
      <c r="B101" t="s">
        <v>325</v>
      </c>
      <c r="C101">
        <v>1974</v>
      </c>
      <c r="D101" t="s">
        <v>326</v>
      </c>
      <c r="E101" t="s">
        <v>327</v>
      </c>
      <c r="F101">
        <v>49</v>
      </c>
      <c r="G101" t="s">
        <v>328</v>
      </c>
      <c r="H101" s="1" t="str">
        <f>_xlfn.TEXTJOIN(CHAR(10),FALSE, _xlfn.TEXTSPLIT(Table_textAnnotations[[#This Row],[Anno_Text]], "ABSATZ"))</f>
        <v>[Kontext: Beispiel eines Lehrervortrags in einer Stunde zum Thema "Geschlechtsakt" für Schüler*innen der 5. und 6. Klassenstufe]
Zwischen den beiden Geschlechtslippen der Mädchen ist oben ein kleines Organ, das man den Kitzler nennt. Wenn ein Mädchen seinen Kitzler oder seine Geschlechtslippen berührt und mit der Hand daran entlangstreicht, fühlt es genauso das Aufregende und Schöne, das ein Junge spürt, der sein festes Glied in die Hand nimmt. Beim Geschlechtsverkehr, wenn die Scheide das Geschlechtsglied um schließt, das sich in ihr hin und her bewegt, wird gleichzeitig dieses kleine Organ der Kitzler oben zwischen den Geschlechtslippen mitgereizt. Je mehr sich das Glied in der Scheide bewegt, umso stärker werden die Reizungen und das sexuelle Lustgefühl bei der Frau.</v>
      </c>
      <c r="I101" s="1" t="s">
        <v>1455</v>
      </c>
      <c r="J101" s="2" t="b">
        <v>1</v>
      </c>
      <c r="L101" t="str">
        <f>_xlfn.TEXTJOIN("_",TRUE,Table_textAnnotations[[#This Row],[Buch_Key]],Table_textAnnotations[[#This Row],[Anno_Key]],IF(ISBLANK(Table_textAnnotations[[#This Row],[Anno_Page_manuell]]),Table_textAnnotations[[#This Row],[Anno_Page_Auto]],Table_textAnnotations[[#This Row],[Anno_Page_manuell]]))&amp; ".txt"</f>
        <v>AWXZSI8C_T479AH87_49.txt</v>
      </c>
    </row>
    <row r="102" spans="1:12" ht="75" x14ac:dyDescent="0.25">
      <c r="A102" t="s">
        <v>329</v>
      </c>
      <c r="B102" t="s">
        <v>330</v>
      </c>
      <c r="C102">
        <v>1975</v>
      </c>
      <c r="D102" t="s">
        <v>331</v>
      </c>
      <c r="E102" t="s">
        <v>332</v>
      </c>
      <c r="G102" t="s">
        <v>333</v>
      </c>
      <c r="H102" s="1" t="str">
        <f>_xlfn.TEXTJOIN(CHAR(10),FALSE, _xlfn.TEXTSPLIT(Table_textAnnotations[[#This Row],[Anno_Text]], "ABSATZ"))</f>
        <v>Obwohl sehr verschieden in ihrer Größe müssen Penis und Clitoris als homologe Organe betrachtet werden. Sie bestehen aus Schwellkörpern, die, wenn sie mit Blut gefüllt werden, eine Erektion verursachen. Die Glans clitoridis ist wesentlich kleiner als die Eichel des Penis,  obwohl sie wahrscheinlich ebenso viele sensorische Nervenendigungen enthält wie die des Penis. Wegen der großen Zahl von Sinnesorganen im Bereich der Glans clitoridis ist diese äußerst empfindlich, wahrscheinlich empfindlicher als die Eichel des Mannes. Clitoris und  Penis sind an die untere Kante des Schambeinknochens fixiert, was bei der Erektion wichtig ist.</v>
      </c>
      <c r="I102" s="1" t="s">
        <v>333</v>
      </c>
      <c r="J102" s="2" t="b">
        <v>1</v>
      </c>
      <c r="L102" t="str">
        <f>_xlfn.TEXTJOIN("_",TRUE,Table_textAnnotations[[#This Row],[Buch_Key]],Table_textAnnotations[[#This Row],[Anno_Key]],IF(ISBLANK(Table_textAnnotations[[#This Row],[Anno_Page_manuell]]),Table_textAnnotations[[#This Row],[Anno_Page_Auto]],Table_textAnnotations[[#This Row],[Anno_Page_manuell]]))&amp; ".txt"</f>
        <v>6KUT8NA5_NX5UZKHU_63.txt</v>
      </c>
    </row>
    <row r="103" spans="1:12" ht="30" x14ac:dyDescent="0.25">
      <c r="A103" t="s">
        <v>334</v>
      </c>
      <c r="B103" t="s">
        <v>335</v>
      </c>
      <c r="C103">
        <v>1976</v>
      </c>
      <c r="D103" t="s">
        <v>336</v>
      </c>
      <c r="E103" t="s">
        <v>337</v>
      </c>
      <c r="G103" t="s">
        <v>338</v>
      </c>
      <c r="H103" s="1" t="str">
        <f>_xlfn.TEXTJOIN(CHAR(10),FALSE, _xlfn.TEXTSPLIT(Table_textAnnotations[[#This Row],[Anno_Text]], "ABSATZ"))</f>
        <v>Vorbemerkung: Als Vulva bezeichnet man die anatomische Region des Mons veneris, der großen und kleinen Schamlippen, der Klitoris, der großen, im Vestibulum gelegenen  Drüsen sowie der hinteren Commissur des Introitus vaginae.</v>
      </c>
      <c r="I103" s="1" t="s">
        <v>338</v>
      </c>
      <c r="J103" s="2" t="b">
        <v>1</v>
      </c>
      <c r="L103" t="str">
        <f>_xlfn.TEXTJOIN("_",TRUE,Table_textAnnotations[[#This Row],[Buch_Key]],Table_textAnnotations[[#This Row],[Anno_Key]],IF(ISBLANK(Table_textAnnotations[[#This Row],[Anno_Page_manuell]]),Table_textAnnotations[[#This Row],[Anno_Page_Auto]],Table_textAnnotations[[#This Row],[Anno_Page_manuell]]))&amp; ".txt"</f>
        <v>TZCB6XEX_P4IS7I4Y_574.txt</v>
      </c>
    </row>
    <row r="104" spans="1:12" ht="45" x14ac:dyDescent="0.25">
      <c r="A104" t="s">
        <v>334</v>
      </c>
      <c r="B104" t="s">
        <v>335</v>
      </c>
      <c r="C104">
        <v>1976</v>
      </c>
      <c r="D104" t="s">
        <v>339</v>
      </c>
      <c r="E104" t="s">
        <v>340</v>
      </c>
      <c r="G104" t="s">
        <v>341</v>
      </c>
      <c r="H104" s="1" t="str">
        <f>_xlfn.TEXTJOIN(CHAR(10),FALSE, _xlfn.TEXTSPLIT(Table_textAnnotations[[#This Row],[Anno_Text]], "ABSATZ"))</f>
        <v>a) Am häufigsten werden die großen oder kleinen Schamlippen [von einem Vulvakarzinom] befallen; in der großen Serie von Kottmeier (1971; s. Edsmyr u. Kottmeier, 1971) von über 500 Fällen in 85%, mit Befall der Klitorisregion in 40%, der hinteren Commissur in 16%, Übergang auf die Vaginalschleimhaut in ebenfalls 16%, Beteiligung der Urethramündung in 11,4%.</v>
      </c>
      <c r="I104" s="1" t="s">
        <v>341</v>
      </c>
      <c r="J104" s="2" t="b">
        <v>0</v>
      </c>
      <c r="L104" t="str">
        <f>_xlfn.TEXTJOIN("_",TRUE,Table_textAnnotations[[#This Row],[Buch_Key]],Table_textAnnotations[[#This Row],[Anno_Key]],IF(ISBLANK(Table_textAnnotations[[#This Row],[Anno_Page_manuell]]),Table_textAnnotations[[#This Row],[Anno_Page_Auto]],Table_textAnnotations[[#This Row],[Anno_Page_manuell]]))&amp; ".txt"</f>
        <v>TZCB6XEX_QD52Z36B_575.txt</v>
      </c>
    </row>
    <row r="105" spans="1:12" ht="75" x14ac:dyDescent="0.25">
      <c r="A105" t="s">
        <v>342</v>
      </c>
      <c r="B105" t="s">
        <v>343</v>
      </c>
      <c r="C105">
        <v>1978</v>
      </c>
      <c r="D105" t="s">
        <v>344</v>
      </c>
      <c r="E105" t="s">
        <v>345</v>
      </c>
      <c r="G105" t="s">
        <v>346</v>
      </c>
      <c r="H105" s="1" t="str">
        <f>_xlfn.TEXTJOIN(CHAR(10),FALSE, _xlfn.TEXTSPLIT(Table_textAnnotations[[#This Row],[Anno_Text]], "ABSATZ"))</f>
        <v>Auch das weibliche Genitalorgan hat Schwellkörper, so  daß sich die Lust oder das Verlangen nach einem Sexualkontakt  steigern kann. Eigene Drüsen ermöglichen vermehrte Sekretproduktion, wodurch beim Sexualverkehr die Schleimhäute  das Hin- und Hergleiten des männlichen Gliedes erleichtern.  Die Clitoris, der hochempfindliche Punkt für jede Art von  Berührung, vermag das Lustgefühl so zu steigern, daß es auch  bei der Frau allerdings in höchst unterschiedlichen Quantitäten und Qualitäten – zu einem sexuellen Höhepunkt kommen kann.</v>
      </c>
      <c r="I105" s="1" t="s">
        <v>346</v>
      </c>
      <c r="J105" s="2" t="b">
        <v>1</v>
      </c>
      <c r="L105" t="str">
        <f>_xlfn.TEXTJOIN("_",TRUE,Table_textAnnotations[[#This Row],[Buch_Key]],Table_textAnnotations[[#This Row],[Anno_Key]],IF(ISBLANK(Table_textAnnotations[[#This Row],[Anno_Page_manuell]]),Table_textAnnotations[[#This Row],[Anno_Page_Auto]],Table_textAnnotations[[#This Row],[Anno_Page_manuell]]))&amp; ".txt"</f>
        <v>KVXZDR72_S2AMKU6F_252.txt</v>
      </c>
    </row>
    <row r="106" spans="1:12" ht="30" x14ac:dyDescent="0.25">
      <c r="A106" t="s">
        <v>347</v>
      </c>
      <c r="B106" t="s">
        <v>348</v>
      </c>
      <c r="C106">
        <v>1979</v>
      </c>
      <c r="D106" t="s">
        <v>349</v>
      </c>
      <c r="E106" t="s">
        <v>350</v>
      </c>
      <c r="F106">
        <v>55</v>
      </c>
      <c r="G106" t="s">
        <v>351</v>
      </c>
      <c r="H106" s="1" t="str">
        <f>_xlfn.TEXTJOIN(CHAR(10),FALSE, _xlfn.TEXTSPLIT(Table_textAnnotations[[#This Row],[Anno_Text]], "ABSATZ"))</f>
        <v>Die äußeren Geschlechtsorgane  der Scham- oder Venusberg;  die großen Schamlippen;  die kleinen Schamlippen;  die Klitoris oder der Kitzler;  die Harnröhrenöffnung;  das Hymenoder Jungfernhäutchen;  die Vorhofszwiebeln;  die Drüsen.</v>
      </c>
      <c r="I106" s="1" t="s">
        <v>351</v>
      </c>
      <c r="J106" s="2" t="b">
        <v>1</v>
      </c>
      <c r="L106" t="str">
        <f>_xlfn.TEXTJOIN("_",TRUE,Table_textAnnotations[[#This Row],[Buch_Key]],Table_textAnnotations[[#This Row],[Anno_Key]],IF(ISBLANK(Table_textAnnotations[[#This Row],[Anno_Page_manuell]]),Table_textAnnotations[[#This Row],[Anno_Page_Auto]],Table_textAnnotations[[#This Row],[Anno_Page_manuell]]))&amp; ".txt"</f>
        <v>8PJREFQI_EUHRAAJN_55.txt</v>
      </c>
    </row>
    <row r="107" spans="1:12" ht="105" x14ac:dyDescent="0.25">
      <c r="A107" t="s">
        <v>347</v>
      </c>
      <c r="B107" t="s">
        <v>348</v>
      </c>
      <c r="C107">
        <v>1979</v>
      </c>
      <c r="D107" t="s">
        <v>352</v>
      </c>
      <c r="E107" t="s">
        <v>353</v>
      </c>
      <c r="F107">
        <v>56</v>
      </c>
      <c r="G107" t="s">
        <v>354</v>
      </c>
      <c r="H107" s="1" t="str">
        <f>_xlfn.TEXTJOIN(CHAR(10),FALSE, _xlfn.TEXTSPLIT(Table_textAnnotations[[#This Row],[Anno_Text]], "ABSATZ"))</f>
        <v>Fast völlig versteckt liegt an derVerbindungsstelle der beiden  großen Schamlippen ein winziges Organ, die Klitoris oder  der Kitzler. Die Klitoris ist das reizempfindlichste Organ  des gesamten weiblichen Geschlechtsapparates, weil sie besonders stark durchblutet ist. Gewöhnlich entwickelt sich  die Klitoris erst nach Eintritt in das aktive Geschlechtsleben  zu ihrer vollen Größe, Bei Mädchen, die in der Pubertät  masturbieren, entwickelt sich dieses Organ durch das Streicheln früher. Für den Zeugungsvorgang ist die Klitoris  56 nicht erforderlich, aber ihre Stimulierung löst den Orgasmus der Frau aus. Am Kitzler bildet sich das sogenannte  Smegma. Das ist eine weißliche Substanz, die abgesondert  wird. Da sich das Smegma leicht zersetzt, ist es selbstverständlich, daß man sich so oft wie möglich wäscht, um  üblen Geruch zu vermeiden.  Unterhalb des Kitzlers befindet sich eine runde, wulstartige  Erhöhung, in welche die Harnröhre einmündet.</v>
      </c>
      <c r="I107" s="1" t="s">
        <v>1421</v>
      </c>
      <c r="J107" s="2" t="b">
        <v>1</v>
      </c>
      <c r="L107" t="str">
        <f>_xlfn.TEXTJOIN("_",TRUE,Table_textAnnotations[[#This Row],[Buch_Key]],Table_textAnnotations[[#This Row],[Anno_Key]],IF(ISBLANK(Table_textAnnotations[[#This Row],[Anno_Page_manuell]]),Table_textAnnotations[[#This Row],[Anno_Page_Auto]],Table_textAnnotations[[#This Row],[Anno_Page_manuell]]))&amp; ".txt"</f>
        <v>8PJREFQI_PJV9M8IW_56.txt</v>
      </c>
    </row>
    <row r="108" spans="1:12" ht="30" x14ac:dyDescent="0.25">
      <c r="A108" t="s">
        <v>347</v>
      </c>
      <c r="B108" t="s">
        <v>348</v>
      </c>
      <c r="C108">
        <v>1979</v>
      </c>
      <c r="D108" t="s">
        <v>355</v>
      </c>
      <c r="E108" t="s">
        <v>356</v>
      </c>
      <c r="F108">
        <v>57</v>
      </c>
      <c r="G108" t="s">
        <v>357</v>
      </c>
      <c r="H108" s="1" t="str">
        <f>_xlfn.TEXTJOIN(CHAR(10),FALSE, _xlfn.TEXTSPLIT(Table_textAnnotations[[#This Row],[Anno_Text]], "ABSATZ"))</f>
        <v>Die Vorhofzwiebeln liegen rechts und  links in die Wand des Scheidenvorhofs eingebettet. Sie besitzen schwammartige Blutgefäßräume, die sich bei Geschlechtserregung mit Blut anfüllen, was zur Lusterhöhung  beiträgt.</v>
      </c>
      <c r="I108" s="1" t="s">
        <v>357</v>
      </c>
      <c r="J108" s="2" t="b">
        <v>1</v>
      </c>
      <c r="L108" t="str">
        <f>_xlfn.TEXTJOIN("_",TRUE,Table_textAnnotations[[#This Row],[Buch_Key]],Table_textAnnotations[[#This Row],[Anno_Key]],IF(ISBLANK(Table_textAnnotations[[#This Row],[Anno_Page_manuell]]),Table_textAnnotations[[#This Row],[Anno_Page_Auto]],Table_textAnnotations[[#This Row],[Anno_Page_manuell]]))&amp; ".txt"</f>
        <v>8PJREFQI_T6HMYX4J_57.txt</v>
      </c>
    </row>
    <row r="109" spans="1:12" ht="45" x14ac:dyDescent="0.25">
      <c r="A109" t="s">
        <v>347</v>
      </c>
      <c r="B109" t="s">
        <v>348</v>
      </c>
      <c r="C109">
        <v>1979</v>
      </c>
      <c r="D109" t="s">
        <v>358</v>
      </c>
      <c r="E109" t="s">
        <v>359</v>
      </c>
      <c r="F109">
        <v>95</v>
      </c>
      <c r="G109" t="s">
        <v>360</v>
      </c>
      <c r="H109" s="1" t="str">
        <f>_xlfn.TEXTJOIN(CHAR(10),FALSE, _xlfn.TEXTSPLIT(Table_textAnnotations[[#This Row],[Anno_Text]], "ABSATZ"))</f>
        <v>Die Masturbation wird als psychische Stimulation und genitale Manipulation definiert, die durch starke sexuelle  Spannung mit nachfolgender Lustlösung gekennzeichnet  ist. Bei Mädchen spielen dabei der Schenkeldruck, hauptsächlich aber die klitorale Reizung eine Rolle. Seltener die  Einführung von Fingern oder Gegenständen.</v>
      </c>
      <c r="I109" s="1" t="s">
        <v>360</v>
      </c>
      <c r="J109" s="2" t="b">
        <v>1</v>
      </c>
      <c r="L109" t="str">
        <f>_xlfn.TEXTJOIN("_",TRUE,Table_textAnnotations[[#This Row],[Buch_Key]],Table_textAnnotations[[#This Row],[Anno_Key]],IF(ISBLANK(Table_textAnnotations[[#This Row],[Anno_Page_manuell]]),Table_textAnnotations[[#This Row],[Anno_Page_Auto]],Table_textAnnotations[[#This Row],[Anno_Page_manuell]]))&amp; ".txt"</f>
        <v>8PJREFQI_HDQ3Q5JP_95.txt</v>
      </c>
    </row>
    <row r="110" spans="1:12" ht="45" x14ac:dyDescent="0.25">
      <c r="A110" t="s">
        <v>347</v>
      </c>
      <c r="B110" t="s">
        <v>348</v>
      </c>
      <c r="C110">
        <v>1979</v>
      </c>
      <c r="D110" t="s">
        <v>361</v>
      </c>
      <c r="E110" t="s">
        <v>89</v>
      </c>
      <c r="F110">
        <v>96</v>
      </c>
      <c r="G110" t="s">
        <v>362</v>
      </c>
      <c r="H110" s="1" t="str">
        <f>_xlfn.TEXTJOIN(CHAR(10),FALSE, _xlfn.TEXTSPLIT(Table_textAnnotations[[#This Row],[Anno_Text]], "ABSATZ"))</f>
        <v>Auch Frauen masturbieren hauptsächlich mit der Hand.  Grundsätzlich versteht man darunter, daß die Frau auf dem  Rücken liegt und die Klitoralzone mit der Hand reizt.  Mit den Fingern, meist dem Mittelfinger, wird meist nicht  etwa die sehr empfindliche Klitoris selbst, sondern die gesamte Klitorisgegend durch Auf- und Ab-Reiben, manchmal mit kreisförmigen Bewegungen stimuliert.</v>
      </c>
      <c r="I110" s="1" t="s">
        <v>362</v>
      </c>
      <c r="J110" s="2" t="b">
        <v>1</v>
      </c>
      <c r="L110" t="str">
        <f>_xlfn.TEXTJOIN("_",TRUE,Table_textAnnotations[[#This Row],[Buch_Key]],Table_textAnnotations[[#This Row],[Anno_Key]],IF(ISBLANK(Table_textAnnotations[[#This Row],[Anno_Page_manuell]]),Table_textAnnotations[[#This Row],[Anno_Page_Auto]],Table_textAnnotations[[#This Row],[Anno_Page_manuell]]))&amp; ".txt"</f>
        <v>8PJREFQI_B6J6UF9L_96.txt</v>
      </c>
    </row>
    <row r="111" spans="1:12" ht="45" x14ac:dyDescent="0.25">
      <c r="A111" t="s">
        <v>347</v>
      </c>
      <c r="B111" t="s">
        <v>348</v>
      </c>
      <c r="C111">
        <v>1979</v>
      </c>
      <c r="D111" t="s">
        <v>363</v>
      </c>
      <c r="E111" t="s">
        <v>364</v>
      </c>
      <c r="F111">
        <v>100</v>
      </c>
      <c r="G111" t="s">
        <v>365</v>
      </c>
      <c r="H111" s="1" t="str">
        <f>_xlfn.TEXTJOIN(CHAR(10),FALSE, _xlfn.TEXTSPLIT(Table_textAnnotations[[#This Row],[Anno_Text]], "ABSATZ"))</f>
        <v>Wenn du deinen eigenen Körper kennst, vielleicht durch Selbstbefriedigung, dürfte es nicht zu schwierig sein, ihm zu helfen, die richtigen Stellen zu finden. Dazu gehört auch, daß du deinem Partner zeigst, wo er deine Klitoris findet und wie er sie stimulieren muß, um dir Lust zu bereiten und dir einen Orgasmus zu verschaffen.</v>
      </c>
      <c r="I111" s="1" t="s">
        <v>365</v>
      </c>
      <c r="J111" s="2" t="b">
        <v>0</v>
      </c>
      <c r="L111" t="str">
        <f>_xlfn.TEXTJOIN("_",TRUE,Table_textAnnotations[[#This Row],[Buch_Key]],Table_textAnnotations[[#This Row],[Anno_Key]],IF(ISBLANK(Table_textAnnotations[[#This Row],[Anno_Page_manuell]]),Table_textAnnotations[[#This Row],[Anno_Page_Auto]],Table_textAnnotations[[#This Row],[Anno_Page_manuell]]))&amp; ".txt"</f>
        <v>8PJREFQI_82KMPJBR_100.txt</v>
      </c>
    </row>
    <row r="112" spans="1:12" ht="30" x14ac:dyDescent="0.25">
      <c r="A112" t="s">
        <v>347</v>
      </c>
      <c r="B112" t="s">
        <v>348</v>
      </c>
      <c r="C112">
        <v>1979</v>
      </c>
      <c r="D112" t="s">
        <v>366</v>
      </c>
      <c r="E112" t="s">
        <v>56</v>
      </c>
      <c r="F112">
        <v>102</v>
      </c>
      <c r="G112" t="s">
        <v>367</v>
      </c>
      <c r="H112" s="1" t="str">
        <f>_xlfn.TEXTJOIN(CHAR(10),FALSE, _xlfn.TEXTSPLIT(Table_textAnnotations[[#This Row],[Anno_Text]], "ABSATZ"))</f>
        <v>Die Klitoris ist verschieden groß, mehr oder weniger sensibel und erigiert unterschiedlich. Soviel man weiß, hat die  Größe keinen Einfluß auf die Sensibilität. Wichtig ist nur,  daß du und dein Partner von ihrer Existenz wissen und ihr  die verdiente Aufmerksamkeit zukommen laẞt.</v>
      </c>
      <c r="I112" s="1" t="s">
        <v>367</v>
      </c>
      <c r="J112" s="2" t="b">
        <v>1</v>
      </c>
      <c r="L112" t="str">
        <f>_xlfn.TEXTJOIN("_",TRUE,Table_textAnnotations[[#This Row],[Buch_Key]],Table_textAnnotations[[#This Row],[Anno_Key]],IF(ISBLANK(Table_textAnnotations[[#This Row],[Anno_Page_manuell]]),Table_textAnnotations[[#This Row],[Anno_Page_Auto]],Table_textAnnotations[[#This Row],[Anno_Page_manuell]]))&amp; ".txt"</f>
        <v>8PJREFQI_97ZQ74AZ_102.txt</v>
      </c>
    </row>
    <row r="113" spans="1:12" ht="60" x14ac:dyDescent="0.25">
      <c r="A113" t="s">
        <v>347</v>
      </c>
      <c r="B113" t="s">
        <v>348</v>
      </c>
      <c r="C113">
        <v>1979</v>
      </c>
      <c r="D113" t="s">
        <v>368</v>
      </c>
      <c r="E113" t="s">
        <v>59</v>
      </c>
      <c r="F113">
        <v>103</v>
      </c>
      <c r="G113" t="s">
        <v>369</v>
      </c>
      <c r="H113" s="1" t="str">
        <f>_xlfn.TEXTJOIN(CHAR(10),FALSE, _xlfn.TEXTSPLIT(Table_textAnnotations[[#This Row],[Anno_Text]], "ABSATZ"))</f>
        <v>Bei starker Erregung entwickelt sich zwischen den Schamlippen und in der Scheide  mehr Feuchtigkeit. Es kann aber sein, daß sich durch Ängstlichkeit oder Aufregung nicht genug Feuchtigkeit bildet.  Dein Partner darf dann nicht versuchen mit Gewalt zum  Ziel zu kommen. Bestehe auf Zärtlichkeit und seinem Verständnis. Mit seinen Fingern oder seiner Zunge kann er  deine Klitoris so stimulieren, bis du derart erregt wirst, daß  deine Scheide feucht wird und du dich danach sehnst,  deinen Partner ganz tief in dir zu spüren. Das heißt: du bist  bereit.</v>
      </c>
      <c r="I113" s="1" t="s">
        <v>369</v>
      </c>
      <c r="J113" s="2" t="b">
        <v>0</v>
      </c>
      <c r="L113" t="str">
        <f>_xlfn.TEXTJOIN("_",TRUE,Table_textAnnotations[[#This Row],[Buch_Key]],Table_textAnnotations[[#This Row],[Anno_Key]],IF(ISBLANK(Table_textAnnotations[[#This Row],[Anno_Page_manuell]]),Table_textAnnotations[[#This Row],[Anno_Page_Auto]],Table_textAnnotations[[#This Row],[Anno_Page_manuell]]))&amp; ".txt"</f>
        <v>8PJREFQI_MAJNPWDH_103.txt</v>
      </c>
    </row>
    <row r="114" spans="1:12" ht="60" x14ac:dyDescent="0.25">
      <c r="A114" t="s">
        <v>347</v>
      </c>
      <c r="B114" t="s">
        <v>348</v>
      </c>
      <c r="C114">
        <v>1979</v>
      </c>
      <c r="D114" t="s">
        <v>370</v>
      </c>
      <c r="E114" t="s">
        <v>371</v>
      </c>
      <c r="F114">
        <v>106</v>
      </c>
      <c r="G114" t="s">
        <v>372</v>
      </c>
      <c r="H114" s="1" t="str">
        <f>_xlfn.TEXTJOIN(CHAR(10),FALSE, _xlfn.TEXTSPLIT(Table_textAnnotations[[#This Row],[Anno_Text]], "ABSATZ"))</f>
        <v>Die Frau liegt unter dem Mann: Diese bei weitem üblichste Stellung, bei der die Frau auf dem Rücken liegt und  der Mann auf ihr, ermöglicht dem Mann das aktive Verhalten. Beide Liebenden sind horizontal gelagert, der Mann  liegt auf der Frau und zwischen ihren geöffneten Beinen.  Für den noch engeren Kontakt kann die Frau ihre Beine  schließen, der Mann die seinen öffnen.  Diese Stellung ermöglicht das leichte Eindringen des Penis  in die Vagina und die Stimulanz der Klitoris durch das  männliche Schambein oder die Hand.</v>
      </c>
      <c r="I114" s="1" t="s">
        <v>372</v>
      </c>
      <c r="J114" s="2" t="b">
        <v>0</v>
      </c>
      <c r="L114" t="str">
        <f>_xlfn.TEXTJOIN("_",TRUE,Table_textAnnotations[[#This Row],[Buch_Key]],Table_textAnnotations[[#This Row],[Anno_Key]],IF(ISBLANK(Table_textAnnotations[[#This Row],[Anno_Page_manuell]]),Table_textAnnotations[[#This Row],[Anno_Page_Auto]],Table_textAnnotations[[#This Row],[Anno_Page_manuell]]))&amp; ".txt"</f>
        <v>8PJREFQI_Q8IKG3KR_106.txt</v>
      </c>
    </row>
    <row r="115" spans="1:12" ht="45" x14ac:dyDescent="0.25">
      <c r="A115" t="s">
        <v>347</v>
      </c>
      <c r="B115" t="s">
        <v>348</v>
      </c>
      <c r="C115">
        <v>1979</v>
      </c>
      <c r="D115" t="s">
        <v>373</v>
      </c>
      <c r="E115" t="s">
        <v>371</v>
      </c>
      <c r="F115">
        <v>106</v>
      </c>
      <c r="G115" t="s">
        <v>374</v>
      </c>
      <c r="H115" s="1" t="str">
        <f>_xlfn.TEXTJOIN(CHAR(10),FALSE, _xlfn.TEXTSPLIT(Table_textAnnotations[[#This Row],[Anno_Text]], "ABSATZ"))</f>
        <v>Seite an Seite: Legt euch auf die Seite und seht euch an.  Zuunterst liegt ein Bein des Mannes, dann kommt ein Bein  der Frau, dann das zweite Bein des Mannes, dann das zweite  Bein der Frau. Das Eindringen des Penis ist nicht ganz so  einfach, aber die Stimulanz der Klitoris kann besser sein.</v>
      </c>
      <c r="I115" s="1" t="s">
        <v>374</v>
      </c>
      <c r="J115" s="2" t="b">
        <v>0</v>
      </c>
      <c r="L115" t="str">
        <f>_xlfn.TEXTJOIN("_",TRUE,Table_textAnnotations[[#This Row],[Buch_Key]],Table_textAnnotations[[#This Row],[Anno_Key]],IF(ISBLANK(Table_textAnnotations[[#This Row],[Anno_Page_manuell]]),Table_textAnnotations[[#This Row],[Anno_Page_Auto]],Table_textAnnotations[[#This Row],[Anno_Page_manuell]]))&amp; ".txt"</f>
        <v>8PJREFQI_J8VIYNPL_106.txt</v>
      </c>
    </row>
    <row r="116" spans="1:12" ht="90" x14ac:dyDescent="0.25">
      <c r="A116" t="s">
        <v>347</v>
      </c>
      <c r="B116" t="s">
        <v>348</v>
      </c>
      <c r="C116">
        <v>1979</v>
      </c>
      <c r="D116" t="s">
        <v>375</v>
      </c>
      <c r="E116" t="s">
        <v>376</v>
      </c>
      <c r="F116">
        <v>115</v>
      </c>
      <c r="G116" t="s">
        <v>377</v>
      </c>
      <c r="H116" s="1" t="str">
        <f>_xlfn.TEXTJOIN(CHAR(10),FALSE, _xlfn.TEXTSPLIT(Table_textAnnotations[[#This Row],[Anno_Text]], "ABSATZ"))</f>
        <v>Wenn die Erregung aufrechterhalten bleibt, sich im Gegenspiel von Reiz und Nervenreaktion noch steigert, schwillt auch die Klitoris an. Wie beim männlichen Glied füllen sich ihre Schwellkörper mit Blut, so daß sie sich streckt und aufrichtet. Im Gegensatz zum Mann, dessen Penis automatisch erigiert, hängt das Anschwellen der Klitoris von dem Reiz ab, der auf sie einwirkt. Die Klitoris ist das für den weiblichen Orgasmus wichtigste Organ. Durch ihre Stimulierung, sei es durch die Zunge oder den Finger deines Partners, oder deines eigenen Fingers, selten allein durch die Bewegungen des Penis in deiner Scheide, wird der Orgasmus ausgelöst. Das geschieht nach der Erregungsphase, die zeitlich sehr verschieden sein kann.</v>
      </c>
      <c r="I116" s="1" t="s">
        <v>377</v>
      </c>
      <c r="J116" s="2" t="b">
        <v>1</v>
      </c>
      <c r="L116" t="str">
        <f>_xlfn.TEXTJOIN("_",TRUE,Table_textAnnotations[[#This Row],[Buch_Key]],Table_textAnnotations[[#This Row],[Anno_Key]],IF(ISBLANK(Table_textAnnotations[[#This Row],[Anno_Page_manuell]]),Table_textAnnotations[[#This Row],[Anno_Page_Auto]],Table_textAnnotations[[#This Row],[Anno_Page_manuell]]))&amp; ".txt"</f>
        <v>8PJREFQI_SUXCWJAY_115.txt</v>
      </c>
    </row>
    <row r="117" spans="1:12" ht="45" x14ac:dyDescent="0.25">
      <c r="A117" t="s">
        <v>347</v>
      </c>
      <c r="B117" t="s">
        <v>348</v>
      </c>
      <c r="C117">
        <v>1979</v>
      </c>
      <c r="D117" t="s">
        <v>378</v>
      </c>
      <c r="E117" t="s">
        <v>92</v>
      </c>
      <c r="F117">
        <v>116</v>
      </c>
      <c r="G117" t="s">
        <v>379</v>
      </c>
      <c r="H117" s="1" t="str">
        <f>_xlfn.TEXTJOIN(CHAR(10),FALSE, _xlfn.TEXTSPLIT(Table_textAnnotations[[#This Row],[Anno_Text]], "ABSATZ"))</f>
        <v>Obwohl der Orgasmus durch direkte oder indirekte Stimulierung der Klitoris ausgelöst wird, macht er sich in einer  nicht genau definierbaren Zone um die Klitoris und Vagina  bemerkbar, häufig auch im oberen Teil der Vagina. Es ist  so ähnlich wie bei Männern, die an der Eichel stimuliert  werden müssen, um ihren Orgasmus zu bekommen, aber den  Orgasmus selbst innerhalb ihres Körpers fühlen.</v>
      </c>
      <c r="I117" s="1" t="s">
        <v>379</v>
      </c>
      <c r="J117" s="2" t="b">
        <v>1</v>
      </c>
      <c r="L117" t="str">
        <f>_xlfn.TEXTJOIN("_",TRUE,Table_textAnnotations[[#This Row],[Buch_Key]],Table_textAnnotations[[#This Row],[Anno_Key]],IF(ISBLANK(Table_textAnnotations[[#This Row],[Anno_Page_manuell]]),Table_textAnnotations[[#This Row],[Anno_Page_Auto]],Table_textAnnotations[[#This Row],[Anno_Page_manuell]]))&amp; ".txt"</f>
        <v>8PJREFQI_IYV5K693_116.txt</v>
      </c>
    </row>
    <row r="118" spans="1:12" ht="90" x14ac:dyDescent="0.25">
      <c r="A118" t="s">
        <v>347</v>
      </c>
      <c r="B118" t="s">
        <v>348</v>
      </c>
      <c r="C118">
        <v>1979</v>
      </c>
      <c r="D118" t="s">
        <v>380</v>
      </c>
      <c r="E118" t="s">
        <v>381</v>
      </c>
      <c r="F118">
        <v>117</v>
      </c>
      <c r="G118" t="s">
        <v>382</v>
      </c>
      <c r="H118" s="1" t="str">
        <f>_xlfn.TEXTJOIN(CHAR(10),FALSE, _xlfn.TEXTSPLIT(Table_textAnnotations[[#This Row],[Anno_Text]], "ABSATZ"))</f>
        <v>Leider herrscht erhebliche Verwirrung über die Begriffe klitoraler Orgasmus und vaginaler Orgasmus. Masters und Johnson habenjedoch überzeugend nachgewiesen, daßjeder weibliche Orgasmus durch klitorale Stimulierung, sei sie direkt (mit dem Finger oder der Zunge) oder indirekt (durch Geschlechtsverkehr),hervorgerufen wird. „Letzten Endes ist der Orgasmus nichts anderes als ein Reflex und hat als solcher eine sensorische und eine motorische Komponente... Der ganze Streit dreht sich im Grunde nur um die Lokalisierung der sensorischen Komponente des Reflexes. Wird der Orgasmus in der Regel durch Stimulierung der Vagina mit dem Penis ausgelöst? Oder durch taktile Reibung der Klitoris? Die klinischen Befunde sprechen eindeutig für die Klitoris." (Zit. nach Kaplan.)</v>
      </c>
      <c r="I118" s="1" t="s">
        <v>382</v>
      </c>
      <c r="J118" s="2" t="b">
        <v>1</v>
      </c>
      <c r="L118" t="str">
        <f>_xlfn.TEXTJOIN("_",TRUE,Table_textAnnotations[[#This Row],[Buch_Key]],Table_textAnnotations[[#This Row],[Anno_Key]],IF(ISBLANK(Table_textAnnotations[[#This Row],[Anno_Page_manuell]]),Table_textAnnotations[[#This Row],[Anno_Page_Auto]],Table_textAnnotations[[#This Row],[Anno_Page_manuell]]))&amp; ".txt"</f>
        <v>8PJREFQI_VXR3PL42_117.txt</v>
      </c>
    </row>
    <row r="119" spans="1:12" ht="60" x14ac:dyDescent="0.25">
      <c r="A119" t="s">
        <v>347</v>
      </c>
      <c r="B119" t="s">
        <v>348</v>
      </c>
      <c r="C119">
        <v>1979</v>
      </c>
      <c r="D119" t="s">
        <v>383</v>
      </c>
      <c r="E119" t="s">
        <v>384</v>
      </c>
      <c r="F119">
        <v>118</v>
      </c>
      <c r="G119" t="s">
        <v>385</v>
      </c>
      <c r="H119" s="1" t="str">
        <f>_xlfn.TEXTJOIN(CHAR(10),FALSE, _xlfn.TEXTSPLIT(Table_textAnnotations[[#This Row],[Anno_Text]], "ABSATZ"))</f>
        <v>Daraus ergibt sich, daß die Annahme der meisten Männer,  eine Frau gelange durch bloßes Stoßen des Penis zum  Orgasmus, falsch ist. Dagegen können fast alle Frauen durch  klitorale Stimulierung (bei manueller Stimulierung mit  einem Partner oder durch eigenes Zutun) orgasmen. Dies  wiederum bedeutet, daß es nur eine Art von Orgasmus gibt  und nicht zwei; daß Orgasmus beim Liebesakt durch indirekte klitorale Stimulierung hervorgerufen wird und  nicht durch vaginale. (Zit. nach Masters und Johnson.)</v>
      </c>
      <c r="I119" s="1" t="s">
        <v>385</v>
      </c>
      <c r="J119" s="2" t="b">
        <v>1</v>
      </c>
      <c r="L119" t="str">
        <f>_xlfn.TEXTJOIN("_",TRUE,Table_textAnnotations[[#This Row],[Buch_Key]],Table_textAnnotations[[#This Row],[Anno_Key]],IF(ISBLANK(Table_textAnnotations[[#This Row],[Anno_Page_manuell]]),Table_textAnnotations[[#This Row],[Anno_Page_Auto]],Table_textAnnotations[[#This Row],[Anno_Page_manuell]]))&amp; ".txt"</f>
        <v>8PJREFQI_GLFBE3GS_118.txt</v>
      </c>
    </row>
    <row r="120" spans="1:12" ht="30" x14ac:dyDescent="0.25">
      <c r="A120" t="s">
        <v>347</v>
      </c>
      <c r="B120" t="s">
        <v>348</v>
      </c>
      <c r="C120">
        <v>1979</v>
      </c>
      <c r="D120" t="s">
        <v>386</v>
      </c>
      <c r="E120" t="s">
        <v>387</v>
      </c>
      <c r="F120">
        <v>175</v>
      </c>
      <c r="G120" t="s">
        <v>388</v>
      </c>
      <c r="H120" s="1" t="str">
        <f>_xlfn.TEXTJOIN(CHAR(10),FALSE, _xlfn.TEXTSPLIT(Table_textAnnotations[[#This Row],[Anno_Text]], "ABSATZ"))</f>
        <v>[Kontext: Erklärungen verschiedener Ausdrücke und andere Bezeichnungen]
Clitoris: Klitoris, Kitzler</v>
      </c>
      <c r="I120" s="1" t="s">
        <v>1327</v>
      </c>
      <c r="J120" s="2" t="b">
        <v>1</v>
      </c>
      <c r="L120" t="str">
        <f>_xlfn.TEXTJOIN("_",TRUE,Table_textAnnotations[[#This Row],[Buch_Key]],Table_textAnnotations[[#This Row],[Anno_Key]],IF(ISBLANK(Table_textAnnotations[[#This Row],[Anno_Page_manuell]]),Table_textAnnotations[[#This Row],[Anno_Page_Auto]],Table_textAnnotations[[#This Row],[Anno_Page_manuell]]))&amp; ".txt"</f>
        <v>8PJREFQI_Q4EVGTAT_175.txt</v>
      </c>
    </row>
    <row r="121" spans="1:12" ht="90" x14ac:dyDescent="0.25">
      <c r="A121" t="s">
        <v>389</v>
      </c>
      <c r="B121" t="s">
        <v>390</v>
      </c>
      <c r="C121">
        <v>1981</v>
      </c>
      <c r="D121" t="s">
        <v>391</v>
      </c>
      <c r="E121" t="s">
        <v>392</v>
      </c>
      <c r="G121" t="s">
        <v>393</v>
      </c>
      <c r="H121" s="1" t="str">
        <f>_xlfn.TEXTJOIN(CHAR(10),FALSE, _xlfn.TEXTSPLIT(Table_textAnnotations[[#This Row],[Anno_Text]], "ABSATZ"))</f>
        <v>[Kontext: Sexuelle Erregung]
In der Frau sondern Drüsen, welche sich in der Urethra und den Labia Majora (großen Schamlippen) befinden, eine Flüssigkeit ab, die zur Gleitfähigkeit beiträgt und den Eingang des Penis in die Vagina erleichtert. Die Öffnung der Vagina und die Vagina selbst vergrößern sich, um den Penis aufzunehmen. Die Clitoris, der Hauptsitz der sexuellen Gefühle in der Frau, schwillt an und vergrößert sich, dadurch größeren Kontakt und stärkere Stimulation ermöglichend.</v>
      </c>
      <c r="I121" s="1" t="s">
        <v>1362</v>
      </c>
      <c r="J121" s="2" t="b">
        <v>1</v>
      </c>
      <c r="L121" t="str">
        <f>_xlfn.TEXTJOIN("_",TRUE,Table_textAnnotations[[#This Row],[Buch_Key]],Table_textAnnotations[[#This Row],[Anno_Key]],IF(ISBLANK(Table_textAnnotations[[#This Row],[Anno_Page_manuell]]),Table_textAnnotations[[#This Row],[Anno_Page_Auto]],Table_textAnnotations[[#This Row],[Anno_Page_manuell]]))&amp; ".txt"</f>
        <v>B873G83J_7WX9ZEE9_40.txt</v>
      </c>
    </row>
    <row r="122" spans="1:12" ht="90" x14ac:dyDescent="0.25">
      <c r="A122" t="s">
        <v>389</v>
      </c>
      <c r="B122" t="s">
        <v>390</v>
      </c>
      <c r="C122">
        <v>1981</v>
      </c>
      <c r="D122" t="s">
        <v>394</v>
      </c>
      <c r="E122" t="s">
        <v>392</v>
      </c>
      <c r="G122" t="s">
        <v>395</v>
      </c>
      <c r="H122" s="1" t="str">
        <f>_xlfn.TEXTJOIN(CHAR(10),FALSE, _xlfn.TEXTSPLIT(Table_textAnnotations[[#This Row],[Anno_Text]], "ABSATZ"))</f>
        <v>2.5. Orgasmischer Mechanismus  Das freudegebende Gefühl des Geschlechtsverkehrs, obwohl es in  der Wahrnehmung der meisten Menschen auf verschiedene Körperteile generalisiert wird, hat seinen Ursprung hauptsächlich in der  Eichel (Glans Penis) des Mannes und der Clitoris der Frau. Die Stimulation welche zum Orgasmus führt (das mächtige und umfassende Gefühl in welchem der Geschlechtsverkehr gewöhnlich gipfelt), die Ejakulation im Mann (welche den Orgasmus gewöhnlich aber nicht immer - begleitet), wird in der Hauptsache durch diese Stimulation bereitgestellt, obwohl die psychologische  Erregung und taktile Stimulation anderer Körperteile auch einen Beitrag leisten kann, und es auch tut.</v>
      </c>
      <c r="I122" s="1" t="s">
        <v>395</v>
      </c>
      <c r="J122" s="2" t="b">
        <v>1</v>
      </c>
      <c r="L122" t="str">
        <f>_xlfn.TEXTJOIN("_",TRUE,Table_textAnnotations[[#This Row],[Buch_Key]],Table_textAnnotations[[#This Row],[Anno_Key]],IF(ISBLANK(Table_textAnnotations[[#This Row],[Anno_Page_manuell]]),Table_textAnnotations[[#This Row],[Anno_Page_Auto]],Table_textAnnotations[[#This Row],[Anno_Page_manuell]]))&amp; ".txt"</f>
        <v>B873G83J_556ZAINV_40.txt</v>
      </c>
    </row>
    <row r="123" spans="1:12" ht="30" x14ac:dyDescent="0.25">
      <c r="A123" t="s">
        <v>389</v>
      </c>
      <c r="B123" t="s">
        <v>390</v>
      </c>
      <c r="C123">
        <v>1981</v>
      </c>
      <c r="D123" t="s">
        <v>396</v>
      </c>
      <c r="E123" t="s">
        <v>397</v>
      </c>
      <c r="G123" t="s">
        <v>398</v>
      </c>
      <c r="H123" s="1" t="str">
        <f>_xlfn.TEXTJOIN(CHAR(10),FALSE, _xlfn.TEXTSPLIT(Table_textAnnotations[[#This Row],[Anno_Text]], "ABSATZ"))</f>
        <v>Außer der Methode des Coitus, können Orgasmus und Ejakulation  durch Stimulation der Clitoris oder der Eichel erreicht werden.  Manchmal, wenn intensive psychologische Erregung mit im Spiel ist, auch ohne diese direkte Stimulation.</v>
      </c>
      <c r="I123" s="1" t="s">
        <v>398</v>
      </c>
      <c r="J123" s="2" t="b">
        <v>1</v>
      </c>
      <c r="L123" t="str">
        <f>_xlfn.TEXTJOIN("_",TRUE,Table_textAnnotations[[#This Row],[Buch_Key]],Table_textAnnotations[[#This Row],[Anno_Key]],IF(ISBLANK(Table_textAnnotations[[#This Row],[Anno_Page_manuell]]),Table_textAnnotations[[#This Row],[Anno_Page_Auto]],Table_textAnnotations[[#This Row],[Anno_Page_manuell]]))&amp; ".txt"</f>
        <v>B873G83J_VWQK2FDA_41.txt</v>
      </c>
    </row>
    <row r="124" spans="1:12" ht="150" x14ac:dyDescent="0.25">
      <c r="A124" t="s">
        <v>389</v>
      </c>
      <c r="B124" t="s">
        <v>390</v>
      </c>
      <c r="C124">
        <v>1981</v>
      </c>
      <c r="D124" t="s">
        <v>399</v>
      </c>
      <c r="E124" t="s">
        <v>397</v>
      </c>
      <c r="G124" t="s">
        <v>400</v>
      </c>
      <c r="H124" s="1" t="str">
        <f>_xlfn.TEXTJOIN(CHAR(10),FALSE, _xlfn.TEXTSPLIT(Table_textAnnotations[[#This Row],[Anno_Text]], "ABSATZ"))</f>
        <v>[Kontext: Ablauf des Geschlechtsverkehrs]
d) Weitere physische Veränderungen, bis zur Bereitschaft beider Partner, das Eindringen des Penis in die Vagina zu ermöglichen. 
e) Eindringen und reibende Stimulation durch beiderseitige Bewegung der Eichel und der Clitoris. Kontakt des Penis mit Nerven am Gebärmuttermund, welcher unterschiedliche zusätzliche Stimulation bei der Frau hervorruft. Unterstützende Stimulation anderer Sensitivbereiche (unter diesen Umständen wird die gesamte Oberfläche des Körpers in unterschiedlichem Umfang, sensitiv). 
f) Zu guter letzt, wenn ausreichende Intensität der Stimulation erreicht ist, löst die gleichlaufende und begleitende Aktivität des zentralen Nervensystems, welche von den Nervenzentren ausgeht, einen Orgasmus in einem oder beiden Partnern aus, wobei der des Mannes gewöhnlich von einer Ejakulation begleitet wird. [12]</v>
      </c>
      <c r="I124" s="1" t="s">
        <v>1363</v>
      </c>
      <c r="J124" s="2" t="b">
        <v>0</v>
      </c>
      <c r="L124" t="str">
        <f>_xlfn.TEXTJOIN("_",TRUE,Table_textAnnotations[[#This Row],[Buch_Key]],Table_textAnnotations[[#This Row],[Anno_Key]],IF(ISBLANK(Table_textAnnotations[[#This Row],[Anno_Page_manuell]]),Table_textAnnotations[[#This Row],[Anno_Page_Auto]],Table_textAnnotations[[#This Row],[Anno_Page_manuell]]))&amp; ".txt"</f>
        <v>B873G83J_G32RH52P_41.txt</v>
      </c>
    </row>
    <row r="125" spans="1:12" ht="90" x14ac:dyDescent="0.25">
      <c r="A125" t="s">
        <v>389</v>
      </c>
      <c r="B125" t="s">
        <v>390</v>
      </c>
      <c r="C125">
        <v>1981</v>
      </c>
      <c r="D125" t="s">
        <v>401</v>
      </c>
      <c r="E125" t="s">
        <v>34</v>
      </c>
      <c r="G125" t="s">
        <v>402</v>
      </c>
      <c r="H125" s="1" t="str">
        <f>_xlfn.TEXTJOIN(CHAR(10),FALSE, _xlfn.TEXTSPLIT(Table_textAnnotations[[#This Row],[Anno_Text]], "ABSATZ"))</f>
        <v>Die Zeit die gebraucht wird, um einen Orgasmus zu erreichen, ist ähnlich unterschiedlich, aber innerhalb unserer Gesellschaft kann festgestellt werden, daß die meisten Männer einen Orgasmus schneller erreichen als die meisten Frauen unter günstigen Umständen beim Mann innerhalb zwei bis vier Minuten, gegenüber vier bis fünf Minuten bei der Frau. Diese Zeiten können, mit Übung, bis zu einem gewissen Grad kontrolliert werden manchmal bis zu einem beachtlichen Grad. Wenn die Umstände nicht völlig günstig sind, besonders wenn die Stimulation nicht direkt ist, was bei Frauen während des Geschlechtsverkehrs oft der Fall sein kann (fehlende clitorale Stimulation), können sich diese Zeiten beträchtlich verlängern, oder ein Orgasmus kann vielleicht garnicht erreicht werden.</v>
      </c>
      <c r="I125" s="1" t="s">
        <v>402</v>
      </c>
      <c r="J125" s="2" t="b">
        <v>1</v>
      </c>
      <c r="L125" t="str">
        <f>_xlfn.TEXTJOIN("_",TRUE,Table_textAnnotations[[#This Row],[Buch_Key]],Table_textAnnotations[[#This Row],[Anno_Key]],IF(ISBLANK(Table_textAnnotations[[#This Row],[Anno_Page_manuell]]),Table_textAnnotations[[#This Row],[Anno_Page_Auto]],Table_textAnnotations[[#This Row],[Anno_Page_manuell]]))&amp; ".txt"</f>
        <v>B873G83J_644CFYKT_42f.txt</v>
      </c>
    </row>
    <row r="126" spans="1:12" ht="75" x14ac:dyDescent="0.25">
      <c r="A126" t="s">
        <v>389</v>
      </c>
      <c r="B126" t="s">
        <v>390</v>
      </c>
      <c r="C126">
        <v>1981</v>
      </c>
      <c r="D126" t="s">
        <v>403</v>
      </c>
      <c r="E126" t="s">
        <v>37</v>
      </c>
      <c r="G126" t="s">
        <v>404</v>
      </c>
      <c r="H126" s="1" t="str">
        <f>_xlfn.TEXTJOIN(CHAR(10),FALSE, _xlfn.TEXTSPLIT(Table_textAnnotations[[#This Row],[Anno_Text]], "ABSATZ"))</f>
        <v>Die Intensität des Orgasmus kann bei Männern und Frauen  sehr unterschiedlich sein. Dies kann besonders bei Frauen der  Fall sein. Der Orgasmus kann milde befriedigend, oder minimal in seiner Intensität sein, sodaß er nicht voll befriedigend ist,  oder er kann absolut intensiv sein. Es hat Versuche gegeben nicht sehr erfolgreiche – diese minimalen oder maximalen Orgasmen bei Frauen, mit clitoraler und/oder vaginaler Stimulation in Verbindung zu bringen, aber es scheint eher wahrscheinlich, daß die Intensität psychologische Wurzeln und Ursachen hat.</v>
      </c>
      <c r="I126" s="1" t="s">
        <v>404</v>
      </c>
      <c r="J126" s="2" t="b">
        <v>1</v>
      </c>
      <c r="L126" t="str">
        <f>_xlfn.TEXTJOIN("_",TRUE,Table_textAnnotations[[#This Row],[Buch_Key]],Table_textAnnotations[[#This Row],[Anno_Key]],IF(ISBLANK(Table_textAnnotations[[#This Row],[Anno_Page_manuell]]),Table_textAnnotations[[#This Row],[Anno_Page_Auto]],Table_textAnnotations[[#This Row],[Anno_Page_manuell]]))&amp; ".txt"</f>
        <v>B873G83J_7RXMAA9G_43.txt</v>
      </c>
    </row>
    <row r="127" spans="1:12" ht="45" x14ac:dyDescent="0.25">
      <c r="A127" t="s">
        <v>389</v>
      </c>
      <c r="B127" t="s">
        <v>390</v>
      </c>
      <c r="C127">
        <v>1981</v>
      </c>
      <c r="D127" t="s">
        <v>405</v>
      </c>
      <c r="E127" t="s">
        <v>406</v>
      </c>
      <c r="G127" t="s">
        <v>407</v>
      </c>
      <c r="H127" s="1" t="str">
        <f>_xlfn.TEXTJOIN(CHAR(10),FALSE, _xlfn.TEXTSPLIT(Table_textAnnotations[[#This Row],[Anno_Text]], "ABSATZ"))</f>
        <v>Wenn beide Partner einigermaßen schlank sind, können sie auf ihren Seiten liegen - entweder Gesicht zu Gesicht, oder mit dem  Mann hinter der Frau. In diesen Stellungen kann ein Partner auf einem Kissen liegen, um den Unterschied der Hüftbreite auszugleichen. Außerdem ist es in dieser Stellung sehr gut möglich, daß der Mann gleichzeitig mit dem Coitus die Clitoris der Partnerin manuell stimuliert.</v>
      </c>
      <c r="I127" s="1" t="s">
        <v>407</v>
      </c>
      <c r="J127" s="2" t="b">
        <v>0</v>
      </c>
      <c r="L127" t="str">
        <f>_xlfn.TEXTJOIN("_",TRUE,Table_textAnnotations[[#This Row],[Buch_Key]],Table_textAnnotations[[#This Row],[Anno_Key]],IF(ISBLANK(Table_textAnnotations[[#This Row],[Anno_Page_manuell]]),Table_textAnnotations[[#This Row],[Anno_Page_Auto]],Table_textAnnotations[[#This Row],[Anno_Page_manuell]]))&amp; ".txt"</f>
        <v>B873G83J_MSFY3YPQ_55.txt</v>
      </c>
    </row>
    <row r="128" spans="1:12" ht="45" x14ac:dyDescent="0.25">
      <c r="A128" t="s">
        <v>389</v>
      </c>
      <c r="B128" t="s">
        <v>390</v>
      </c>
      <c r="C128">
        <v>1981</v>
      </c>
      <c r="D128" t="s">
        <v>408</v>
      </c>
      <c r="E128" t="s">
        <v>409</v>
      </c>
      <c r="G128" t="s">
        <v>410</v>
      </c>
      <c r="H128" s="1" t="str">
        <f>_xlfn.TEXTJOIN(CHAR(10),FALSE, _xlfn.TEXTSPLIT(Table_textAnnotations[[#This Row],[Anno_Text]], "ABSATZ"))</f>
        <v>Man sollte sich ins Gedächtnis rufen, daß für die volle sexuelle Befriedigung, die Eichel (der Vorsprung am Ende des Penis) und die Clitoris (das kleine, penisartige Organ innerhalb der inneren Schamlippen der Vagina) in Kontakt kommen sollten, und sich aneinander reiben sollten (entweder direkt oder indirekt).</v>
      </c>
      <c r="I128" s="1" t="s">
        <v>410</v>
      </c>
      <c r="J128" s="2" t="b">
        <v>0</v>
      </c>
      <c r="L128" t="str">
        <f>_xlfn.TEXTJOIN("_",TRUE,Table_textAnnotations[[#This Row],[Buch_Key]],Table_textAnnotations[[#This Row],[Anno_Key]],IF(ISBLANK(Table_textAnnotations[[#This Row],[Anno_Page_manuell]]),Table_textAnnotations[[#This Row],[Anno_Page_Auto]],Table_textAnnotations[[#This Row],[Anno_Page_manuell]]))&amp; ".txt"</f>
        <v>B873G83J_FVH6YPPT_56.txt</v>
      </c>
    </row>
    <row r="129" spans="1:12" ht="120" x14ac:dyDescent="0.25">
      <c r="A129" t="s">
        <v>389</v>
      </c>
      <c r="B129" t="s">
        <v>390</v>
      </c>
      <c r="C129">
        <v>1981</v>
      </c>
      <c r="D129" t="s">
        <v>411</v>
      </c>
      <c r="E129" t="s">
        <v>412</v>
      </c>
      <c r="G129" t="s">
        <v>413</v>
      </c>
      <c r="H129" s="1" t="str">
        <f>_xlfn.TEXTJOIN(CHAR(10),FALSE, _xlfn.TEXTSPLIT(Table_textAnnotations[[#This Row],[Anno_Text]], "ABSATZ"))</f>
        <v>Manchmal hat ein Mann Schwierigkeiten eine volle und steife  Erektion zu bekommen oder die Steifheit geht verloren, bevor der Geschlechtsverkehr beginnt. Wenn sich der Penis aber überhaupt vergrößert (ohne steif zu werden) sollte es möglich sein, ihn unter Zuhilfenahme der Finger des einen oder anderen Partners, in die  Vagina der Frau einzuführen (dies wird von Prosituierten oft praktiziert und heißt in ihrer,Fachsprache',,Stopfen“). Wenn der Penis erst einmal in der Vagina ist, kann eine volle Erektion zurückkehren. Auch wenn keine Erektion resultiert, kann sich der etwas  weiche Penis der inneren Form der Vagina anpassen, und dies kann  sogar den Kontakt mit der Clitoris intensivieren. Dieser Kontakt  kann auch vergrößert werden, indem der Mann die Wurzel seines  Penis mit den Fingern umschließt (während des Coitus) und ihn  schnell innerhalb der Vagina bewegt. Dies kann auch von der Frau durchgeführt werden (besonders in den Fällen wo der Mann nicht  den vollen Gebrauch seiner Hände besitzt).</v>
      </c>
      <c r="I129" s="1" t="s">
        <v>413</v>
      </c>
      <c r="J129" s="2" t="b">
        <v>0</v>
      </c>
      <c r="L129" t="str">
        <f>_xlfn.TEXTJOIN("_",TRUE,Table_textAnnotations[[#This Row],[Buch_Key]],Table_textAnnotations[[#This Row],[Anno_Key]],IF(ISBLANK(Table_textAnnotations[[#This Row],[Anno_Page_manuell]]),Table_textAnnotations[[#This Row],[Anno_Page_Auto]],Table_textAnnotations[[#This Row],[Anno_Page_manuell]]))&amp; ".txt"</f>
        <v>B873G83J_7345JG23_57.txt</v>
      </c>
    </row>
    <row r="130" spans="1:12" ht="45" x14ac:dyDescent="0.25">
      <c r="A130" t="s">
        <v>389</v>
      </c>
      <c r="B130" t="s">
        <v>390</v>
      </c>
      <c r="C130">
        <v>1981</v>
      </c>
      <c r="D130" t="s">
        <v>414</v>
      </c>
      <c r="E130" t="s">
        <v>56</v>
      </c>
      <c r="G130" t="s">
        <v>415</v>
      </c>
      <c r="H130" s="1" t="str">
        <f>_xlfn.TEXTJOIN(CHAR(10),FALSE, _xlfn.TEXTSPLIT(Table_textAnnotations[[#This Row],[Anno_Text]], "ABSATZ"))</f>
        <v>Für die größere Befriedigung der Frau, welche ihre Gefühle im Genitalbereich teilweise verloren hat, gibt es kleine Ringe, die wiederum auf den Penis des Mannes gestülpt werden. Sie haben kleine Vorsprünge oder „,Stachel" welche die Stimulation der Labia  (Schamlippen) und der Clitoris intensivieren. Diese Ringe gibt es in den verschiedensten Ausführungen.</v>
      </c>
      <c r="I130" s="1" t="s">
        <v>415</v>
      </c>
      <c r="J130" s="2" t="b">
        <v>0</v>
      </c>
      <c r="L130" t="str">
        <f>_xlfn.TEXTJOIN("_",TRUE,Table_textAnnotations[[#This Row],[Buch_Key]],Table_textAnnotations[[#This Row],[Anno_Key]],IF(ISBLANK(Table_textAnnotations[[#This Row],[Anno_Page_manuell]]),Table_textAnnotations[[#This Row],[Anno_Page_Auto]],Table_textAnnotations[[#This Row],[Anno_Page_manuell]]))&amp; ".txt"</f>
        <v>B873G83J_6LCRHKMS_60.txt</v>
      </c>
    </row>
    <row r="131" spans="1:12" ht="30" x14ac:dyDescent="0.25">
      <c r="A131" t="s">
        <v>389</v>
      </c>
      <c r="B131" t="s">
        <v>390</v>
      </c>
      <c r="C131">
        <v>1981</v>
      </c>
      <c r="D131" t="s">
        <v>416</v>
      </c>
      <c r="E131" t="s">
        <v>417</v>
      </c>
      <c r="G131" t="s">
        <v>418</v>
      </c>
      <c r="H131" s="1" t="str">
        <f>_xlfn.TEXTJOIN(CHAR(10),FALSE, _xlfn.TEXTSPLIT(Table_textAnnotations[[#This Row],[Anno_Text]], "ABSATZ"))</f>
        <v>Was den Mann betrifft, wird erdie größte Befriedigung durch die  Eichel erhalten. Eine Frau erhältsie durch die Clitoris. Durch die  Liebkosung und das Streicheln dieser Organe, werden die Partner  den Gipfel der sexuellen Freude erreichen.</v>
      </c>
      <c r="I131" s="1" t="s">
        <v>1425</v>
      </c>
      <c r="J131" s="2" t="b">
        <v>1</v>
      </c>
      <c r="L131" t="str">
        <f>_xlfn.TEXTJOIN("_",TRUE,Table_textAnnotations[[#This Row],[Buch_Key]],Table_textAnnotations[[#This Row],[Anno_Key]],IF(ISBLANK(Table_textAnnotations[[#This Row],[Anno_Page_manuell]]),Table_textAnnotations[[#This Row],[Anno_Page_Auto]],Table_textAnnotations[[#This Row],[Anno_Page_manuell]]))&amp; ".txt"</f>
        <v>B873G83J_SRCD8PRP_62.txt</v>
      </c>
    </row>
    <row r="132" spans="1:12" ht="45" x14ac:dyDescent="0.25">
      <c r="A132" t="s">
        <v>419</v>
      </c>
      <c r="B132" t="s">
        <v>420</v>
      </c>
      <c r="C132">
        <v>1982</v>
      </c>
      <c r="D132" t="s">
        <v>421</v>
      </c>
      <c r="E132" t="s">
        <v>422</v>
      </c>
      <c r="G132" t="s">
        <v>423</v>
      </c>
      <c r="H132" s="1" t="str">
        <f>_xlfn.TEXTJOIN(CHAR(10),FALSE, _xlfn.TEXTSPLIT(Table_textAnnotations[[#This Row],[Anno_Text]], "ABSATZ"))</f>
        <v>[Kontext: Pruritits vulvae]
Eine sorgfältige Inspektion von Perineum, Anus, Labien, Klitoris und Introitus ist unumgänglich.</v>
      </c>
      <c r="I132" s="1" t="s">
        <v>1364</v>
      </c>
      <c r="J132" s="2" t="b">
        <v>0</v>
      </c>
      <c r="L132" t="str">
        <f>_xlfn.TEXTJOIN("_",TRUE,Table_textAnnotations[[#This Row],[Buch_Key]],Table_textAnnotations[[#This Row],[Anno_Key]],IF(ISBLANK(Table_textAnnotations[[#This Row],[Anno_Page_manuell]]),Table_textAnnotations[[#This Row],[Anno_Page_Auto]],Table_textAnnotations[[#This Row],[Anno_Page_manuell]]))&amp; ".txt"</f>
        <v>E4CAA68W_QHYIFGYT_548.txt</v>
      </c>
    </row>
    <row r="133" spans="1:12" ht="30" x14ac:dyDescent="0.25">
      <c r="A133" t="s">
        <v>424</v>
      </c>
      <c r="B133" t="s">
        <v>425</v>
      </c>
      <c r="C133">
        <v>1982</v>
      </c>
      <c r="D133" t="s">
        <v>426</v>
      </c>
      <c r="E133" t="s">
        <v>412</v>
      </c>
      <c r="G133" t="s">
        <v>427</v>
      </c>
      <c r="H133" s="1" t="str">
        <f>_xlfn.TEXTJOIN(CHAR(10),FALSE, _xlfn.TEXTSPLIT(Table_textAnnotations[[#This Row],[Anno_Text]], "ABSATZ"))</f>
        <v>Die äußere Scham liegt zwischen den Oberschenkeln am unteren Ausgang des Beckens; sie wird von den großen und kleinen Schamlippen,  dem Kitzler und dem eigentlichen Scheidenvorhof mit den Bartholinischen Drüsen gebildet.</v>
      </c>
      <c r="I133" s="1" t="s">
        <v>427</v>
      </c>
      <c r="J133" s="2" t="b">
        <v>1</v>
      </c>
      <c r="L133" t="str">
        <f>_xlfn.TEXTJOIN("_",TRUE,Table_textAnnotations[[#This Row],[Buch_Key]],Table_textAnnotations[[#This Row],[Anno_Key]],IF(ISBLANK(Table_textAnnotations[[#This Row],[Anno_Page_manuell]]),Table_textAnnotations[[#This Row],[Anno_Page_Auto]],Table_textAnnotations[[#This Row],[Anno_Page_manuell]]))&amp; ".txt"</f>
        <v>FXBEHWRM_6YFQ6VEA_57.txt</v>
      </c>
    </row>
    <row r="134" spans="1:12" ht="75" x14ac:dyDescent="0.25">
      <c r="A134" t="s">
        <v>424</v>
      </c>
      <c r="B134" t="s">
        <v>425</v>
      </c>
      <c r="C134">
        <v>1982</v>
      </c>
      <c r="D134" t="s">
        <v>428</v>
      </c>
      <c r="E134" t="s">
        <v>429</v>
      </c>
      <c r="G134" t="s">
        <v>430</v>
      </c>
      <c r="H134" s="1" t="str">
        <f>_xlfn.TEXTJOIN(CHAR(10),FALSE, _xlfn.TEXTSPLIT(Table_textAnnotations[[#This Row],[Anno_Text]], "ABSATZ"))</f>
        <v>Die dünneren kleinen Schamlippen umschließen mit ihrem Vorderteil den Kitzler (Clitoris), dessen Vorhaut also in sie übergeht. Entwicklungsgeschichtlich entspricht dieses hochsensible Organ dem männlichen Glied. Beim männlichen Embryo bildet sich nämlich im dritten Schwangerschaftsmonat der Mutter aus der Spitze des sogenannten Genitalhöckers die Eichel des Penis, beim weiblichen Embryo dagegen der Kitzler. Auch der Kitzler ist, wie das männliche Glied, mit Schwellkörpern versehen. Außerdem weist auch der Scheideneingang Schwellkörper auf. Etwa eine Daumenbreite unterhalb des Kitzlers liegt der Ausgang der Harnröhre.</v>
      </c>
      <c r="I134" s="1" t="s">
        <v>430</v>
      </c>
      <c r="J134" s="2" t="b">
        <v>1</v>
      </c>
      <c r="L134" t="str">
        <f>_xlfn.TEXTJOIN("_",TRUE,Table_textAnnotations[[#This Row],[Buch_Key]],Table_textAnnotations[[#This Row],[Anno_Key]],IF(ISBLANK(Table_textAnnotations[[#This Row],[Anno_Page_manuell]]),Table_textAnnotations[[#This Row],[Anno_Page_Auto]],Table_textAnnotations[[#This Row],[Anno_Page_manuell]]))&amp; ".txt"</f>
        <v>FXBEHWRM_QJ5LHADN_57f.txt</v>
      </c>
    </row>
    <row r="135" spans="1:12" ht="90" x14ac:dyDescent="0.25">
      <c r="A135" t="s">
        <v>424</v>
      </c>
      <c r="B135" t="s">
        <v>425</v>
      </c>
      <c r="C135">
        <v>1982</v>
      </c>
      <c r="D135" t="s">
        <v>431</v>
      </c>
      <c r="E135" t="s">
        <v>432</v>
      </c>
      <c r="G135" t="s">
        <v>433</v>
      </c>
      <c r="H135" s="1" t="str">
        <f>_xlfn.TEXTJOIN(CHAR(10),FALSE, _xlfn.TEXTSPLIT(Table_textAnnotations[[#This Row],[Anno_Text]], "ABSATZ"))</f>
        <v>Nach so betörendem Kosen darf der Mann einen Schritt weitergehen.Ermag  sich dabei an den Rat des Leibarztes der Kaiserin Maria Theresia, Gerard  van Swieten, erinnern. Auf ihre Frage, warum sie noch nicht schwangersei,  antwortete er, er rate, daß ihr Gemahl (Franz von Lothringen) vordemBeischlaf erst die Klitoris,Ihrer Allerheiligsten Majestät' kitzle. Wenn der  Reformator der damaligen österreichischen Medizin einer Erzherzogin solchen Rat erteilt, dürfen wir ihn unbesorgt weitergeben. Hinzusetzenmöchte  ich aber noch, daß diese sanfte Liebkosung auch während der Vereinigung  fortgesetzt werden kann, wenn der Mann seine Normallage beim Coitus  seitlich verschiebt - der Genuß der Frau wird dadurch früher herbeigeführt  und gesteigert.</v>
      </c>
      <c r="I135" s="1" t="s">
        <v>433</v>
      </c>
      <c r="J135" s="2" t="b">
        <v>0</v>
      </c>
      <c r="L135" t="str">
        <f>_xlfn.TEXTJOIN("_",TRUE,Table_textAnnotations[[#This Row],[Buch_Key]],Table_textAnnotations[[#This Row],[Anno_Key]],IF(ISBLANK(Table_textAnnotations[[#This Row],[Anno_Page_manuell]]),Table_textAnnotations[[#This Row],[Anno_Page_Auto]],Table_textAnnotations[[#This Row],[Anno_Page_manuell]]))&amp; ".txt"</f>
        <v>FXBEHWRM_I7CQJFJZ_92.txt</v>
      </c>
    </row>
    <row r="136" spans="1:12" ht="75" x14ac:dyDescent="0.25">
      <c r="A136" t="s">
        <v>424</v>
      </c>
      <c r="B136" t="s">
        <v>425</v>
      </c>
      <c r="C136">
        <v>1982</v>
      </c>
      <c r="D136" t="s">
        <v>434</v>
      </c>
      <c r="E136" t="s">
        <v>435</v>
      </c>
      <c r="G136" t="s">
        <v>436</v>
      </c>
      <c r="H136" s="1" t="str">
        <f>_xlfn.TEXTJOIN(CHAR(10),FALSE, _xlfn.TEXTSPLIT(Table_textAnnotations[[#This Row],[Anno_Text]], "ABSATZ"))</f>
        <v>In der ersten Nacht, beim ersten Beisammensein, wird es selten vorkommen,  daß auch die Frau schon voll in den Genuß der Liebeslust gelangt. Dazu sind ihre natürlichen Hemmungen noch zu groß, und das Durchstoßen des Jungfernhäutchens bereitet ihr Schmerzen. Auch wird sie selbst noch nicht wissen, welche Liebkosung ihr die größte Freude bereitet; das muß der Mann,  tastend und prüfend, herausfinden. Wenn sie erst ihren eigenen Körper und  seine Liebesbedürfnisse kennengelernt hat und ihr auch der Leib des Mannes  vertraut ist, wird sie ihn mit liebender Hand dort hinführen, wo sie am  innigsten erregbar ist.</v>
      </c>
      <c r="I136" s="1" t="s">
        <v>436</v>
      </c>
      <c r="J136" s="2" t="b">
        <v>0</v>
      </c>
      <c r="L136" t="str">
        <f>_xlfn.TEXTJOIN("_",TRUE,Table_textAnnotations[[#This Row],[Buch_Key]],Table_textAnnotations[[#This Row],[Anno_Key]],IF(ISBLANK(Table_textAnnotations[[#This Row],[Anno_Page_manuell]]),Table_textAnnotations[[#This Row],[Anno_Page_Auto]],Table_textAnnotations[[#This Row],[Anno_Page_manuell]]))&amp; ".txt"</f>
        <v>FXBEHWRM_UQXIC6D6_93.txt</v>
      </c>
    </row>
    <row r="137" spans="1:12" ht="60" x14ac:dyDescent="0.25">
      <c r="A137" t="s">
        <v>424</v>
      </c>
      <c r="B137" t="s">
        <v>425</v>
      </c>
      <c r="C137">
        <v>1982</v>
      </c>
      <c r="D137" t="s">
        <v>437</v>
      </c>
      <c r="E137" t="s">
        <v>438</v>
      </c>
      <c r="G137" t="s">
        <v>439</v>
      </c>
      <c r="H137" s="1" t="str">
        <f>_xlfn.TEXTJOIN(CHAR(10),FALSE, _xlfn.TEXTSPLIT(Table_textAnnotations[[#This Row],[Anno_Text]], "ABSATZ"))</f>
        <v>[Kontext: "Die Normallage" ("Missionar")]
Zu empfehlen ist, daß sich der Mann gegen das Kopfende des Bettes zu schiebt, weil dann sein Penisschaft den Kitzler der Frau mehr und mehr reiz</v>
      </c>
      <c r="I137" s="1" t="s">
        <v>1365</v>
      </c>
      <c r="J137" s="2" t="b">
        <v>0</v>
      </c>
      <c r="L137" t="str">
        <f>_xlfn.TEXTJOIN("_",TRUE,Table_textAnnotations[[#This Row],[Buch_Key]],Table_textAnnotations[[#This Row],[Anno_Key]],IF(ISBLANK(Table_textAnnotations[[#This Row],[Anno_Page_manuell]]),Table_textAnnotations[[#This Row],[Anno_Page_Auto]],Table_textAnnotations[[#This Row],[Anno_Page_manuell]]))&amp; ".txt"</f>
        <v>FXBEHWRM_6UR4D77M_100.txt</v>
      </c>
    </row>
    <row r="138" spans="1:12" ht="60" x14ac:dyDescent="0.25">
      <c r="A138" t="s">
        <v>424</v>
      </c>
      <c r="B138" t="s">
        <v>425</v>
      </c>
      <c r="C138">
        <v>1982</v>
      </c>
      <c r="D138" t="s">
        <v>440</v>
      </c>
      <c r="E138" t="s">
        <v>441</v>
      </c>
      <c r="G138" t="s">
        <v>442</v>
      </c>
      <c r="H138" s="1" t="str">
        <f>_xlfn.TEXTJOIN(CHAR(10),FALSE, _xlfn.TEXTSPLIT(Table_textAnnotations[[#This Row],[Anno_Text]], "ABSATZ"))</f>
        <v>Bei der 3. Position liegt der Mann ausgestreckt auf dem Bett (oder Fußboden, im Gras oder Sand eines einsamen Strandes), während die Frau gewissermaßen wie ein großer Schmetterling über ihm schwebt, liegt oder  sitzt. Diese Stellung ist deshalb so reizvoll, weil die Klitoris der Frau durch  ihr Auf- und Niedergleiten an dem Penisschaft besonders anschwillt und  sowohl der Mann wie die Frau Tempo und Rhythmus der Bewegungen abwechselnd bestimmen können.</v>
      </c>
      <c r="I138" s="1" t="s">
        <v>442</v>
      </c>
      <c r="J138" s="2" t="b">
        <v>0</v>
      </c>
      <c r="L138" t="str">
        <f>_xlfn.TEXTJOIN("_",TRUE,Table_textAnnotations[[#This Row],[Buch_Key]],Table_textAnnotations[[#This Row],[Anno_Key]],IF(ISBLANK(Table_textAnnotations[[#This Row],[Anno_Page_manuell]]),Table_textAnnotations[[#This Row],[Anno_Page_Auto]],Table_textAnnotations[[#This Row],[Anno_Page_manuell]]))&amp; ".txt"</f>
        <v>FXBEHWRM_5JG3SLRH_101.txt</v>
      </c>
    </row>
    <row r="139" spans="1:12" ht="90" x14ac:dyDescent="0.25">
      <c r="A139" t="s">
        <v>443</v>
      </c>
      <c r="B139" t="s">
        <v>444</v>
      </c>
      <c r="C139">
        <v>1983</v>
      </c>
      <c r="D139" t="s">
        <v>445</v>
      </c>
      <c r="E139" t="s">
        <v>432</v>
      </c>
      <c r="F139">
        <v>457</v>
      </c>
      <c r="G139" t="s">
        <v>446</v>
      </c>
      <c r="H139" s="1" t="str">
        <f>_xlfn.TEXTJOIN(CHAR(10),FALSE, _xlfn.TEXTSPLIT(Table_textAnnotations[[#This Row],[Anno_Text]], "ABSATZ"))</f>
        <v>Virilisierungen (mit Klitorishypertrophie, Sinus urogenitalis, Verschmelzung der kleinen Labien)
C Frühzeitige operative Klitorisrückverlagerung und evtl. Verkleinerung (nicht Amputation oder Exzision) zur Erhaltung der Orgasmusfähigkeit, Freilegung des Introitus vaginae und evtl. Neueinpflanzung der Vagina am Damm, nach dem Ende des 1. Lebensjahres.
S Präoperativ ausreichende Kortikoidsubstitution mit perioperativer Dosiserhöhung und klinischer Überwachung bei adrenogenitalem Syndrom.</v>
      </c>
      <c r="I139" s="1" t="s">
        <v>1366</v>
      </c>
      <c r="J139" s="2" t="b">
        <v>1</v>
      </c>
      <c r="K139" t="s">
        <v>1320</v>
      </c>
      <c r="L139" t="str">
        <f>_xlfn.TEXTJOIN("_",TRUE,Table_textAnnotations[[#This Row],[Buch_Key]],Table_textAnnotations[[#This Row],[Anno_Key]],IF(ISBLANK(Table_textAnnotations[[#This Row],[Anno_Page_manuell]]),Table_textAnnotations[[#This Row],[Anno_Page_Auto]],Table_textAnnotations[[#This Row],[Anno_Page_manuell]]))&amp; ".txt"</f>
        <v>DSNJWTA2_ZSLRSF7X_457.txt</v>
      </c>
    </row>
    <row r="140" spans="1:12" ht="75" x14ac:dyDescent="0.25">
      <c r="A140" t="s">
        <v>447</v>
      </c>
      <c r="B140" t="s">
        <v>448</v>
      </c>
      <c r="C140">
        <v>1983</v>
      </c>
      <c r="D140" t="s">
        <v>449</v>
      </c>
      <c r="E140" t="s">
        <v>450</v>
      </c>
      <c r="G140" t="s">
        <v>451</v>
      </c>
      <c r="H140" s="1" t="str">
        <f>_xlfn.TEXTJOIN(CHAR(10),FALSE, _xlfn.TEXTSPLIT(Table_textAnnotations[[#This Row],[Anno_Text]], "ABSATZ"))</f>
        <v>[Kontext: Das adrenogenitale Syndrom]
Der weibliche Pseudohermaphroditismus ist gekennzeichnet durch einen männlichen Habitus, Hirsutismus und, besonders bei späterer Manifestation, durch Adipositas und cushingoides Aussehen. Bei rudimentärer Ausprägung von Ovarien, Tuben, Uterus und Vagina sieht man eine penisähnliche, stark vergrößerte Clitoris.</v>
      </c>
      <c r="I140" s="1" t="s">
        <v>1367</v>
      </c>
      <c r="J140" s="2" t="b">
        <v>1</v>
      </c>
      <c r="K140" t="s">
        <v>1320</v>
      </c>
      <c r="L140" t="str">
        <f>_xlfn.TEXTJOIN("_",TRUE,Table_textAnnotations[[#This Row],[Buch_Key]],Table_textAnnotations[[#This Row],[Anno_Key]],IF(ISBLANK(Table_textAnnotations[[#This Row],[Anno_Page_manuell]]),Table_textAnnotations[[#This Row],[Anno_Page_Auto]],Table_textAnnotations[[#This Row],[Anno_Page_manuell]]))&amp; ".txt"</f>
        <v>NVQFNTKJ_DIEV6CNQ_242.txt</v>
      </c>
    </row>
    <row r="141" spans="1:12" ht="45" x14ac:dyDescent="0.25">
      <c r="A141" t="s">
        <v>447</v>
      </c>
      <c r="B141" t="s">
        <v>448</v>
      </c>
      <c r="C141">
        <v>1983</v>
      </c>
      <c r="D141" t="s">
        <v>452</v>
      </c>
      <c r="E141" t="s">
        <v>453</v>
      </c>
      <c r="G141" t="s">
        <v>454</v>
      </c>
      <c r="H141" s="1" t="str">
        <f>_xlfn.TEXTJOIN(CHAR(10),FALSE, _xlfn.TEXTSPLIT(Table_textAnnotations[[#This Row],[Anno_Text]], "ABSATZ"))</f>
        <v>Pseudohermaphroditismus femininus
Anwesenheit von Ovarien. Positiver Chromatinbefund. Gradweise verschiedene Maskulinisierung der äußeren Geschlechtsorgane, penisartige Klitorishypertrophie. Häufigste Ursache der Virilisierung: NNR-Hyperplasie.</v>
      </c>
      <c r="I141" s="1" t="s">
        <v>1328</v>
      </c>
      <c r="J141" s="2" t="b">
        <v>1</v>
      </c>
      <c r="K141" t="s">
        <v>1320</v>
      </c>
      <c r="L141" t="str">
        <f>_xlfn.TEXTJOIN("_",TRUE,Table_textAnnotations[[#This Row],[Buch_Key]],Table_textAnnotations[[#This Row],[Anno_Key]],IF(ISBLANK(Table_textAnnotations[[#This Row],[Anno_Page_manuell]]),Table_textAnnotations[[#This Row],[Anno_Page_Auto]],Table_textAnnotations[[#This Row],[Anno_Page_manuell]]))&amp; ".txt"</f>
        <v>NVQFNTKJ_NFPVTFM9_496.txt</v>
      </c>
    </row>
    <row r="142" spans="1:12" ht="45" x14ac:dyDescent="0.25">
      <c r="A142" t="s">
        <v>447</v>
      </c>
      <c r="B142" t="s">
        <v>448</v>
      </c>
      <c r="C142">
        <v>1983</v>
      </c>
      <c r="D142" t="s">
        <v>455</v>
      </c>
      <c r="E142" t="s">
        <v>456</v>
      </c>
      <c r="G142" t="s">
        <v>457</v>
      </c>
      <c r="H142" s="1" t="str">
        <f>_xlfn.TEXTJOIN(CHAR(10),FALSE, _xlfn.TEXTSPLIT(Table_textAnnotations[[#This Row],[Anno_Text]], "ABSATZ"))</f>
        <v>[Kontext: "Adreno-genitales Salzverlust-Syndrom (Debré-Fibinger-Syndrom, Pseudopylorospasmus)"]
Gelegentlich kann eine Klitorisamputation indiziert sein.</v>
      </c>
      <c r="I142" s="1" t="s">
        <v>1368</v>
      </c>
      <c r="J142" s="2" t="b">
        <v>1</v>
      </c>
      <c r="K142" t="s">
        <v>1320</v>
      </c>
      <c r="L142" t="str">
        <f>_xlfn.TEXTJOIN("_",TRUE,Table_textAnnotations[[#This Row],[Buch_Key]],Table_textAnnotations[[#This Row],[Anno_Key]],IF(ISBLANK(Table_textAnnotations[[#This Row],[Anno_Page_manuell]]),Table_textAnnotations[[#This Row],[Anno_Page_Auto]],Table_textAnnotations[[#This Row],[Anno_Page_manuell]]))&amp; ".txt"</f>
        <v>NVQFNTKJ_BXQYZQCU_521.txt</v>
      </c>
    </row>
    <row r="143" spans="1:12" ht="45" x14ac:dyDescent="0.25">
      <c r="A143" t="s">
        <v>458</v>
      </c>
      <c r="B143" t="s">
        <v>459</v>
      </c>
      <c r="C143">
        <v>1984</v>
      </c>
      <c r="D143" t="s">
        <v>460</v>
      </c>
      <c r="E143" t="s">
        <v>461</v>
      </c>
      <c r="G143" t="s">
        <v>462</v>
      </c>
      <c r="H143" s="1" t="str">
        <f>_xlfn.TEXTJOIN(CHAR(10),FALSE, _xlfn.TEXTSPLIT(Table_textAnnotations[[#This Row],[Anno_Text]], "ABSATZ"))</f>
        <v>Ein Kapillarnetz sammelt die Lymphe von den kleinen Labien, der Haut der Klitoris, der  hinteren Kommissur und der Haut außerhalb des  Hymenalsaumes in Gefäßstämmen, die seitlich an  der Klitoris vorbei zum lateralen Anteil des Mons  pubis und von dort über die oberflächlichen zu den tiefen Leistenlymphknoten ziehen, die medial  der V. saphena magna liegen.</v>
      </c>
      <c r="I143" s="1" t="s">
        <v>462</v>
      </c>
      <c r="J143" s="2" t="b">
        <v>1</v>
      </c>
      <c r="L143" t="str">
        <f>_xlfn.TEXTJOIN("_",TRUE,Table_textAnnotations[[#This Row],[Buch_Key]],Table_textAnnotations[[#This Row],[Anno_Key]],IF(ISBLANK(Table_textAnnotations[[#This Row],[Anno_Page_manuell]]),Table_textAnnotations[[#This Row],[Anno_Page_Auto]],Table_textAnnotations[[#This Row],[Anno_Page_manuell]]))&amp; ".txt"</f>
        <v>ZNQE2GX6_SLN5RQYV_236.txt</v>
      </c>
    </row>
    <row r="144" spans="1:12" ht="45" x14ac:dyDescent="0.25">
      <c r="A144" t="s">
        <v>458</v>
      </c>
      <c r="B144" t="s">
        <v>459</v>
      </c>
      <c r="C144">
        <v>1984</v>
      </c>
      <c r="D144" t="s">
        <v>463</v>
      </c>
      <c r="E144" t="s">
        <v>464</v>
      </c>
      <c r="G144" t="s">
        <v>465</v>
      </c>
      <c r="H144" s="1" t="str">
        <f>_xlfn.TEXTJOIN(CHAR(10),FALSE, _xlfn.TEXTSPLIT(Table_textAnnotations[[#This Row],[Anno_Text]], "ABSATZ"))</f>
        <v>[Kontext: "Das sogenannte »mikroinvasive Karzinom« der Vulva"]
Die großen Labien sind mit etwa 30% am häufigsten befallen. Mit absteigender Frequenz folgen kleine Labien, Klitoris, Perineum, vordere Kommissur und Urethra</v>
      </c>
      <c r="I144" s="1" t="s">
        <v>1329</v>
      </c>
      <c r="J144" s="2" t="b">
        <v>0</v>
      </c>
      <c r="L144" t="str">
        <f>_xlfn.TEXTJOIN("_",TRUE,Table_textAnnotations[[#This Row],[Buch_Key]],Table_textAnnotations[[#This Row],[Anno_Key]],IF(ISBLANK(Table_textAnnotations[[#This Row],[Anno_Page_manuell]]),Table_textAnnotations[[#This Row],[Anno_Page_Auto]],Table_textAnnotations[[#This Row],[Anno_Page_manuell]]))&amp; ".txt"</f>
        <v>ZNQE2GX6_VLNKUBSL_237.txt</v>
      </c>
    </row>
    <row r="145" spans="1:12" ht="90" x14ac:dyDescent="0.25">
      <c r="A145" t="s">
        <v>458</v>
      </c>
      <c r="B145" t="s">
        <v>459</v>
      </c>
      <c r="C145">
        <v>1984</v>
      </c>
      <c r="D145" t="s">
        <v>466</v>
      </c>
      <c r="E145" t="s">
        <v>467</v>
      </c>
      <c r="G145" t="s">
        <v>468</v>
      </c>
      <c r="H145" s="1" t="str">
        <f>_xlfn.TEXTJOIN(CHAR(10),FALSE, _xlfn.TEXTSPLIT(Table_textAnnotations[[#This Row],[Anno_Text]], "ABSATZ"))</f>
        <v>Die früher gelegentlich routinemäßig vorgenommene  Entfernung der iliakalen und Obturatoria-Lymphknoten wird in der letzten Zeit zumeist auf die  Patientinnen begrenzt, bei denen inguinale Lymphknotenmetastasen nachgewiesen wurden. Dies gilt auch für Patientinnen mit zentral gelegenen Tumoren, z. B. an der Klitoris, für die früher aufgrund der anatomisch nachgewiesenen direkten Lymphbahnen ins kleine Becken eine routinemäßige intrapelvine Lymphonodektomie vorgeschlagen wurde. Es hat sich gezeigt, daß trotz dieser Besonderheiten isolierte iliakale und Obturatoria-Metastasen ohne Beteiligung der Leisten-Lymphknoten nicht vorkamen oder eine ausgeprochene Seltenheit darstellen.</v>
      </c>
      <c r="I145" s="1" t="s">
        <v>468</v>
      </c>
      <c r="J145" s="2" t="b">
        <v>0</v>
      </c>
      <c r="L145" t="str">
        <f>_xlfn.TEXTJOIN("_",TRUE,Table_textAnnotations[[#This Row],[Buch_Key]],Table_textAnnotations[[#This Row],[Anno_Key]],IF(ISBLANK(Table_textAnnotations[[#This Row],[Anno_Page_manuell]]),Table_textAnnotations[[#This Row],[Anno_Page_Auto]],Table_textAnnotations[[#This Row],[Anno_Page_manuell]]))&amp; ".txt"</f>
        <v>ZNQE2GX6_8KH3W6NL_239.txt</v>
      </c>
    </row>
    <row r="146" spans="1:12" ht="30" x14ac:dyDescent="0.25">
      <c r="A146" t="s">
        <v>458</v>
      </c>
      <c r="B146" t="s">
        <v>459</v>
      </c>
      <c r="C146">
        <v>1984</v>
      </c>
      <c r="D146" t="s">
        <v>469</v>
      </c>
      <c r="E146" t="s">
        <v>450</v>
      </c>
      <c r="G146" t="s">
        <v>470</v>
      </c>
      <c r="H146" s="1" t="str">
        <f>_xlfn.TEXTJOIN(CHAR(10),FALSE, _xlfn.TEXTSPLIT(Table_textAnnotations[[#This Row],[Anno_Text]], "ABSATZ"))</f>
        <v>[Kontext: Melanome der Vulva)
Die Hauptlokalisation (ca. 80%) sind die Labia minora und die Klitoris.</v>
      </c>
      <c r="I146" s="1" t="s">
        <v>1330</v>
      </c>
      <c r="J146" s="2" t="b">
        <v>0</v>
      </c>
      <c r="L146" t="str">
        <f>_xlfn.TEXTJOIN("_",TRUE,Table_textAnnotations[[#This Row],[Buch_Key]],Table_textAnnotations[[#This Row],[Anno_Key]],IF(ISBLANK(Table_textAnnotations[[#This Row],[Anno_Page_manuell]]),Table_textAnnotations[[#This Row],[Anno_Page_Auto]],Table_textAnnotations[[#This Row],[Anno_Page_manuell]]))&amp; ".txt"</f>
        <v>ZNQE2GX6_MW4ZMIKS_242.txt</v>
      </c>
    </row>
    <row r="147" spans="1:12" ht="60" x14ac:dyDescent="0.25">
      <c r="A147" t="s">
        <v>471</v>
      </c>
      <c r="B147" t="s">
        <v>472</v>
      </c>
      <c r="C147">
        <v>1986</v>
      </c>
      <c r="D147" t="s">
        <v>473</v>
      </c>
      <c r="E147" t="s">
        <v>474</v>
      </c>
      <c r="G147" t="s">
        <v>475</v>
      </c>
      <c r="H147" s="1" t="str">
        <f>_xlfn.TEXTJOIN(CHAR(10),FALSE, _xlfn.TEXTSPLIT(Table_textAnnotations[[#This Row],[Anno_Text]], "ABSATZ"))</f>
        <v>Die Kindergynäkologie hat ihre eigenen Indikationen und Techniken, die der Kinderarzt für den Modus seiner Zusammenarbeit mit dem Gynäkologen kennen sollte (Tab. 30.1). Die hauptsächlichen Probleme sind:  anatomische Abweichungen an Klitoris und Vulva, Entzündungen der Vulva, Fluor vaginalis, Verdacht auf vaginale Fremdkörper, Blutabgang aus der Vagina im Zusammenhang mit Zyklusstörungen, pathologische Amenorrhoe.</v>
      </c>
      <c r="I147" s="1" t="s">
        <v>475</v>
      </c>
      <c r="J147" s="2" t="b">
        <v>0</v>
      </c>
      <c r="L147" t="str">
        <f>_xlfn.TEXTJOIN("_",TRUE,Table_textAnnotations[[#This Row],[Buch_Key]],Table_textAnnotations[[#This Row],[Anno_Key]],IF(ISBLANK(Table_textAnnotations[[#This Row],[Anno_Page_manuell]]),Table_textAnnotations[[#This Row],[Anno_Page_Auto]],Table_textAnnotations[[#This Row],[Anno_Page_manuell]]))&amp; ".txt"</f>
        <v>PNRCDS3G_XW4RIZXH_210.txt</v>
      </c>
    </row>
    <row r="148" spans="1:12" ht="90" x14ac:dyDescent="0.25">
      <c r="A148" t="s">
        <v>471</v>
      </c>
      <c r="B148" t="s">
        <v>472</v>
      </c>
      <c r="C148">
        <v>1986</v>
      </c>
      <c r="D148" t="s">
        <v>476</v>
      </c>
      <c r="E148" t="s">
        <v>477</v>
      </c>
      <c r="G148" t="s">
        <v>478</v>
      </c>
      <c r="H148" s="1" t="str">
        <f>_xlfn.TEXTJOIN(CHAR(10),FALSE, _xlfn.TEXTSPLIT(Table_textAnnotations[[#This Row],[Anno_Text]], "ABSATZ"))</f>
        <v>30.5. Pathologische Amenorrhoe  Man spricht in diesem Zusammenhang am besten von primärer und sekundärer Amenorrhoe, je nachdem, ob das Mädchen schon seine Menarche und weitere Blutungen hatte oder nicht. Bestimmend für die differentialdiagnostische Abklärung ist der Habitus (Entwicklung der Mammae und der Sekundärbehaarung), die klare Differenzierung des Genitales (infantil? Vergrößerung der Klitoris? Vagina? Uterus vorhanden? vergrößerte Ovarien?); sehr hilfreich hier die Sonographie, die Bestimmung der Gonadotropine und der  17-Ketosteroide im Harn, sowie  -die Chromosomenanalyse und eventuell - die Probelaparotomie mit Inspektion des inneren Genitales und Probeentnahme aus den Gonaden  zur histologischen Untersuchung.</v>
      </c>
      <c r="I148" s="1" t="s">
        <v>478</v>
      </c>
      <c r="J148" s="2" t="b">
        <v>1</v>
      </c>
      <c r="K148" t="s">
        <v>1320</v>
      </c>
      <c r="L148" t="str">
        <f>_xlfn.TEXTJOIN("_",TRUE,Table_textAnnotations[[#This Row],[Buch_Key]],Table_textAnnotations[[#This Row],[Anno_Key]],IF(ISBLANK(Table_textAnnotations[[#This Row],[Anno_Page_manuell]]),Table_textAnnotations[[#This Row],[Anno_Page_Auto]],Table_textAnnotations[[#This Row],[Anno_Page_manuell]]))&amp; ".txt"</f>
        <v>PNRCDS3G_9TLQIE9D_213.txt</v>
      </c>
    </row>
    <row r="149" spans="1:12" ht="30" x14ac:dyDescent="0.25">
      <c r="A149" t="s">
        <v>471</v>
      </c>
      <c r="B149" t="s">
        <v>472</v>
      </c>
      <c r="C149">
        <v>1986</v>
      </c>
      <c r="D149" t="s">
        <v>479</v>
      </c>
      <c r="E149" t="s">
        <v>477</v>
      </c>
      <c r="G149" t="s">
        <v>480</v>
      </c>
      <c r="H149" s="1" t="str">
        <f>_xlfn.TEXTJOIN(CHAR(10),FALSE, _xlfn.TEXTSPLIT(Table_textAnnotations[[#This Row],[Anno_Text]], "ABSATZ"))</f>
        <v>beim adrenogenitalen Syndrom. Pseudohermaphro ditismus femininus; dabei Sekundärbehaarung vom männlichen Typ, infantiler Uterus, kleine  Vagina, phallusartige Klitoris.</v>
      </c>
      <c r="I149" s="1" t="s">
        <v>480</v>
      </c>
      <c r="J149" s="2" t="b">
        <v>1</v>
      </c>
      <c r="K149" t="s">
        <v>1320</v>
      </c>
      <c r="L149" t="str">
        <f>_xlfn.TEXTJOIN("_",TRUE,Table_textAnnotations[[#This Row],[Buch_Key]],Table_textAnnotations[[#This Row],[Anno_Key]],IF(ISBLANK(Table_textAnnotations[[#This Row],[Anno_Page_manuell]]),Table_textAnnotations[[#This Row],[Anno_Page_Auto]],Table_textAnnotations[[#This Row],[Anno_Page_manuell]]))&amp; ".txt"</f>
        <v>PNRCDS3G_8VSCGPH6_213.txt</v>
      </c>
    </row>
    <row r="150" spans="1:12" ht="30" x14ac:dyDescent="0.25">
      <c r="A150" t="s">
        <v>471</v>
      </c>
      <c r="B150" t="s">
        <v>472</v>
      </c>
      <c r="C150">
        <v>1986</v>
      </c>
      <c r="D150" t="s">
        <v>481</v>
      </c>
      <c r="E150" t="s">
        <v>477</v>
      </c>
      <c r="G150" t="s">
        <v>482</v>
      </c>
      <c r="H150" s="1" t="str">
        <f>_xlfn.TEXTJOIN(CHAR(10),FALSE, _xlfn.TEXTSPLIT(Table_textAnnotations[[#This Row],[Anno_Text]], "ABSATZ"))</f>
        <v>beim Turner-Syndrom; dabei Feb [...] behaarung, infantile Vagina [...]
fällige Klitoris, kleine oder f [...]</v>
      </c>
      <c r="I150" s="1" t="s">
        <v>1331</v>
      </c>
      <c r="J150" s="2" t="b">
        <v>1</v>
      </c>
      <c r="K150" t="s">
        <v>1321</v>
      </c>
      <c r="L150" t="str">
        <f>_xlfn.TEXTJOIN("_",TRUE,Table_textAnnotations[[#This Row],[Buch_Key]],Table_textAnnotations[[#This Row],[Anno_Key]],IF(ISBLANK(Table_textAnnotations[[#This Row],[Anno_Page_manuell]]),Table_textAnnotations[[#This Row],[Anno_Page_Auto]],Table_textAnnotations[[#This Row],[Anno_Page_manuell]]))&amp; ".txt"</f>
        <v>PNRCDS3G_KM7TTBDR_213.txt</v>
      </c>
    </row>
    <row r="151" spans="1:12" ht="30" x14ac:dyDescent="0.25">
      <c r="A151" t="s">
        <v>483</v>
      </c>
      <c r="B151" t="s">
        <v>484</v>
      </c>
      <c r="C151">
        <v>1988</v>
      </c>
      <c r="D151" t="s">
        <v>485</v>
      </c>
      <c r="E151" t="s">
        <v>486</v>
      </c>
      <c r="G151" t="s">
        <v>487</v>
      </c>
      <c r="H151" s="1" t="str">
        <f>_xlfn.TEXTJOIN(CHAR(10),FALSE, _xlfn.TEXTSPLIT(Table_textAnnotations[[#This Row],[Anno_Text]], "ABSATZ"))</f>
        <v>Zwischen den  Labia minora findet sich die Klitoris, ein winziges, sexuell äußerst empfindliches Organ, das dem männlichen Penis entspricht.</v>
      </c>
      <c r="I151" s="1" t="s">
        <v>487</v>
      </c>
      <c r="J151" s="2" t="b">
        <v>1</v>
      </c>
      <c r="L151" t="str">
        <f>_xlfn.TEXTJOIN("_",TRUE,Table_textAnnotations[[#This Row],[Buch_Key]],Table_textAnnotations[[#This Row],[Anno_Key]],IF(ISBLANK(Table_textAnnotations[[#This Row],[Anno_Page_manuell]]),Table_textAnnotations[[#This Row],[Anno_Page_Auto]],Table_textAnnotations[[#This Row],[Anno_Page_manuell]]))&amp; ".txt"</f>
        <v>MEPNKE3H_TDTYIKLV_72.txt</v>
      </c>
    </row>
    <row r="152" spans="1:12" ht="30" x14ac:dyDescent="0.25">
      <c r="A152" t="s">
        <v>488</v>
      </c>
      <c r="B152" t="s">
        <v>489</v>
      </c>
      <c r="C152">
        <v>1989</v>
      </c>
      <c r="D152" t="s">
        <v>490</v>
      </c>
      <c r="E152" t="s">
        <v>491</v>
      </c>
      <c r="G152" t="s">
        <v>492</v>
      </c>
      <c r="H152" s="1" t="str">
        <f>_xlfn.TEXTJOIN(CHAR(10),FALSE, _xlfn.TEXTSPLIT(Table_textAnnotations[[#This Row],[Anno_Text]], "ABSATZ"))</f>
        <v>Stadium 3: Die infantil-genitale Periode (3.-4. Lebensjahr). Beim Jungen ist es der  Penis und beim Mädchen sind es die Klitoris und übrigen Geschlechtsteile, die die Schlüsselobjekte der erotischen Lust in der dritten großen psychosexuellen Periode  darstellen.</v>
      </c>
      <c r="I152" s="1" t="s">
        <v>492</v>
      </c>
      <c r="J152" s="2" t="b">
        <v>1</v>
      </c>
      <c r="L152" t="str">
        <f>_xlfn.TEXTJOIN("_",TRUE,Table_textAnnotations[[#This Row],[Buch_Key]],Table_textAnnotations[[#This Row],[Anno_Key]],IF(ISBLANK(Table_textAnnotations[[#This Row],[Anno_Page_manuell]]),Table_textAnnotations[[#This Row],[Anno_Page_Auto]],Table_textAnnotations[[#This Row],[Anno_Page_manuell]]))&amp; ".txt"</f>
        <v>Q7B9MBIP_AG28QC6D_75f.txt</v>
      </c>
    </row>
    <row r="153" spans="1:12" ht="60" x14ac:dyDescent="0.25">
      <c r="A153" t="s">
        <v>493</v>
      </c>
      <c r="B153" t="s">
        <v>494</v>
      </c>
      <c r="C153">
        <v>1990</v>
      </c>
      <c r="D153" t="s">
        <v>495</v>
      </c>
      <c r="E153" t="s">
        <v>496</v>
      </c>
      <c r="F153">
        <v>92</v>
      </c>
      <c r="G153" t="s">
        <v>497</v>
      </c>
      <c r="H153" s="1" t="str">
        <f>_xlfn.TEXTJOIN(CHAR(10),FALSE, _xlfn.TEXTSPLIT(Table_textAnnotations[[#This Row],[Anno_Text]], "ABSATZ"))</f>
        <v>[Kontext: Primärsyphilis]
Bei der Frau bleibt der Primäraffekt in der Vagina oder an der Portio oft unbemerkt, im übrigen findet er sich an den kleinen und großen Labien, an Klitoris, hinterer Kommissur oder am Ostium urethrae.</v>
      </c>
      <c r="I153" s="1" t="s">
        <v>1369</v>
      </c>
      <c r="J153" s="2" t="b">
        <v>0</v>
      </c>
      <c r="L153" t="str">
        <f>_xlfn.TEXTJOIN("_",TRUE,Table_textAnnotations[[#This Row],[Buch_Key]],Table_textAnnotations[[#This Row],[Anno_Key]],IF(ISBLANK(Table_textAnnotations[[#This Row],[Anno_Page_manuell]]),Table_textAnnotations[[#This Row],[Anno_Page_Auto]],Table_textAnnotations[[#This Row],[Anno_Page_manuell]]))&amp; ".txt"</f>
        <v>XZPEBSMQ_TXVZWYLX_92.txt</v>
      </c>
    </row>
    <row r="154" spans="1:12" ht="60" x14ac:dyDescent="0.25">
      <c r="A154" t="s">
        <v>498</v>
      </c>
      <c r="B154" t="s">
        <v>499</v>
      </c>
      <c r="C154">
        <v>1991</v>
      </c>
      <c r="D154" t="s">
        <v>500</v>
      </c>
      <c r="E154" t="s">
        <v>501</v>
      </c>
      <c r="G154" t="s">
        <v>502</v>
      </c>
      <c r="H154" s="1" t="str">
        <f>_xlfn.TEXTJOIN(CHAR(10),FALSE, _xlfn.TEXTSPLIT(Table_textAnnotations[[#This Row],[Anno_Text]], "ABSATZ"))</f>
        <v>John  Money schreibt in seinem Buch Lovemaps (1986) über seinen  Kollegen Kellogg:  &gt;&gt;Kellogg war der glühendste Verfechter der DegenerationsTheorie und ihrer Anti-Masturbations-Kampagne. Für den Fall unausrottbarer Masturbationsneigungen bei kleinen Jungen empfahl er, die Vorhaut mit Silberdraht zuzunähen, oder - falls  auch dieses Mittel versagte - ohne Betäubung eine Beschneidung vorzunehmen. Bei Mädchen riet er, die Klitoris mit Karbolsäure wegzuätzen.</v>
      </c>
      <c r="I154" s="1" t="s">
        <v>502</v>
      </c>
      <c r="J154" s="2" t="b">
        <v>0</v>
      </c>
      <c r="L154" t="str">
        <f>_xlfn.TEXTJOIN("_",TRUE,Table_textAnnotations[[#This Row],[Buch_Key]],Table_textAnnotations[[#This Row],[Anno_Key]],IF(ISBLANK(Table_textAnnotations[[#This Row],[Anno_Page_manuell]]),Table_textAnnotations[[#This Row],[Anno_Page_Auto]],Table_textAnnotations[[#This Row],[Anno_Page_manuell]]))&amp; ".txt"</f>
        <v>T29UAKH8_Y3D3THGW_85.txt</v>
      </c>
    </row>
    <row r="155" spans="1:12" ht="30" x14ac:dyDescent="0.25">
      <c r="A155" t="s">
        <v>498</v>
      </c>
      <c r="B155" t="s">
        <v>499</v>
      </c>
      <c r="C155">
        <v>1991</v>
      </c>
      <c r="D155" t="s">
        <v>503</v>
      </c>
      <c r="E155" t="s">
        <v>504</v>
      </c>
      <c r="G155" t="s">
        <v>505</v>
      </c>
      <c r="H155" s="1" t="str">
        <f>_xlfn.TEXTJOIN(CHAR(10),FALSE, _xlfn.TEXTSPLIT(Table_textAnnotations[[#This Row],[Anno_Text]], "ABSATZ"))</f>
        <v>Der Geschlechtsakt allein bietet nicht immer die nötige Erregung, um einen Höhepunkt zu erreichen. Insbesondere Frauen finden, daß sie durch eine zusätzliche Stimulierung der Klitoris  oder Brust während des Koitus leichter zum Orgasmus kommen.</v>
      </c>
      <c r="I155" s="1" t="s">
        <v>505</v>
      </c>
      <c r="J155" s="2" t="b">
        <v>1</v>
      </c>
      <c r="L155" t="str">
        <f>_xlfn.TEXTJOIN("_",TRUE,Table_textAnnotations[[#This Row],[Buch_Key]],Table_textAnnotations[[#This Row],[Anno_Key]],IF(ISBLANK(Table_textAnnotations[[#This Row],[Anno_Page_manuell]]),Table_textAnnotations[[#This Row],[Anno_Page_Auto]],Table_textAnnotations[[#This Row],[Anno_Page_manuell]]))&amp; ".txt"</f>
        <v>T29UAKH8_U6FJT7US_98.txt</v>
      </c>
    </row>
    <row r="156" spans="1:12" ht="45" x14ac:dyDescent="0.25">
      <c r="A156" t="s">
        <v>498</v>
      </c>
      <c r="B156" t="s">
        <v>499</v>
      </c>
      <c r="C156">
        <v>1991</v>
      </c>
      <c r="D156" t="s">
        <v>506</v>
      </c>
      <c r="E156" t="s">
        <v>507</v>
      </c>
      <c r="F156">
        <v>208</v>
      </c>
      <c r="G156" t="s">
        <v>508</v>
      </c>
      <c r="H156" s="1" t="str">
        <f>_xlfn.TEXTJOIN(CHAR(10),FALSE, _xlfn.TEXTSPLIT(Table_textAnnotations[[#This Row],[Anno_Text]], "ABSATZ"))</f>
        <v>Erregungsphase. In diesem Stadium bereitet sich der Körper auf den Erregungszustand durch eine Zunahme der Herz- und  Atemfrequenz sowie eine Erweiterung der Blutgefäße im Genitalbereich vor. Das Blut strömt verstärkt in die Genitalien und  verursacht bei Männern eine Erektion des Penis, bei Frauen das  Anschwellen der Klitoris und die Lubrikation der Scheide.</v>
      </c>
      <c r="I156" s="1" t="s">
        <v>508</v>
      </c>
      <c r="J156" s="2" t="b">
        <v>1</v>
      </c>
      <c r="L156" t="str">
        <f>_xlfn.TEXTJOIN("_",TRUE,Table_textAnnotations[[#This Row],[Buch_Key]],Table_textAnnotations[[#This Row],[Anno_Key]],IF(ISBLANK(Table_textAnnotations[[#This Row],[Anno_Page_manuell]]),Table_textAnnotations[[#This Row],[Anno_Page_Auto]],Table_textAnnotations[[#This Row],[Anno_Page_manuell]]))&amp; ".txt"</f>
        <v>T29UAKH8_HN646V2T_208.txt</v>
      </c>
    </row>
    <row r="157" spans="1:12" ht="195" x14ac:dyDescent="0.25">
      <c r="A157" t="s">
        <v>509</v>
      </c>
      <c r="B157" t="s">
        <v>510</v>
      </c>
      <c r="C157">
        <v>1992</v>
      </c>
      <c r="D157" t="s">
        <v>511</v>
      </c>
      <c r="E157" t="s">
        <v>512</v>
      </c>
      <c r="G157" t="s">
        <v>513</v>
      </c>
      <c r="H157" s="1" t="str">
        <f>_xlfn.TEXTJOIN(CHAR(10),FALSE, _xlfn.TEXTSPLIT(Table_textAnnotations[[#This Row],[Anno_Text]], "ABSATZ"))</f>
        <v>Für Freud muß ein solches Fundament im Gezeugten und nicht Erlernten gerade für die weibliche «Schwäche&gt;&gt; mehr bedeutet haben als angesichts hysterischer, phobischer oder zwanghafter Symptome. Auch für diese wurde ja damals energisch eine angeborene Grundlage, eine «Degeneration&gt;&gt; postuliert. Diese Vermutung hat Freud mit dem Argument erledigt, sie sei in ihren Beweisen wenig eindeutig und in ihren Konsequenzen nur destruktiv, führe zu Resignation, wo doch eine therapeutische Hilfe durchaus möglich sei. Wie kohärent Freud aber sein Bild der Frau um das herum entwarf, was er Mill entgegenzusetzen trachtete, zeigen seine Aussagen über die Weiblichkeit:
[...]
3. Der Wechsel des Liebesobjekts (von der Mutter zum Vater) und des Musters der sexuellen Erregung (von der «phallischen» Klitoris zur Vagina) hinterläßt Frauen mit einer größeren Starre der libidinösen Fixierungen.
[...]
4. Der Penisneid bleibt im ungünstigen Fall der weiblichen Entwicklung bestehen, führt zu lebenslangen Gefühlen, unvollständig und mangelhaft zu sein, bedingt auch eine stärkere Neigung der Frau zu Ungerechtigkeit, Eifersucht, Miẞgunst und Rachsucht. Im günstigen Fall gelingt es der Frau, die klitorale Sackgasse zu verlassen, die Hoffnung aufzugeben, doch noch einen Penis zu erhalten, und diesen Wunsch durch die vaginale Begierde nach dem männlichen Penis zu ersetzen.</v>
      </c>
      <c r="I157" s="1" t="s">
        <v>1332</v>
      </c>
      <c r="J157" s="2" t="b">
        <v>0</v>
      </c>
      <c r="L157" t="str">
        <f>_xlfn.TEXTJOIN("_",TRUE,Table_textAnnotations[[#This Row],[Buch_Key]],Table_textAnnotations[[#This Row],[Anno_Key]],IF(ISBLANK(Table_textAnnotations[[#This Row],[Anno_Page_manuell]]),Table_textAnnotations[[#This Row],[Anno_Page_Auto]],Table_textAnnotations[[#This Row],[Anno_Page_manuell]]))&amp; ".txt"</f>
        <v>E99XE4BF_GNIVMXQS_58f.txt</v>
      </c>
    </row>
    <row r="158" spans="1:12" ht="45" x14ac:dyDescent="0.25">
      <c r="A158" t="s">
        <v>509</v>
      </c>
      <c r="B158" t="s">
        <v>510</v>
      </c>
      <c r="C158">
        <v>1992</v>
      </c>
      <c r="D158" t="s">
        <v>514</v>
      </c>
      <c r="E158" t="s">
        <v>56</v>
      </c>
      <c r="G158" t="s">
        <v>515</v>
      </c>
      <c r="H158" s="1" t="str">
        <f>_xlfn.TEXTJOIN(CHAR(10),FALSE, _xlfn.TEXTSPLIT(Table_textAnnotations[[#This Row],[Anno_Text]], "ABSATZ"))</f>
        <v>Wenn die Frau [wie in Freuds Theorie] vergeblich auf ein Wachstum der Klitoris wartet und endlich, sobald sie diese Hoffnung verloren hat, ein begehrliches Auge auf den Penis wirft, der zwar nicht ihrer ist, aber doch geweckt werden kann, sie zu beglücken, ängstigt sie den Mann wenig, obwohl sie doch eine ganze Menge von ihm verlangt. Denn sie will etwas, was er gerne gibt.</v>
      </c>
      <c r="I158" s="1" t="s">
        <v>515</v>
      </c>
      <c r="J158" s="2" t="b">
        <v>0</v>
      </c>
      <c r="L158" t="str">
        <f>_xlfn.TEXTJOIN("_",TRUE,Table_textAnnotations[[#This Row],[Buch_Key]],Table_textAnnotations[[#This Row],[Anno_Key]],IF(ISBLANK(Table_textAnnotations[[#This Row],[Anno_Page_manuell]]),Table_textAnnotations[[#This Row],[Anno_Page_Auto]],Table_textAnnotations[[#This Row],[Anno_Page_manuell]]))&amp; ".txt"</f>
        <v>E99XE4BF_F8TVPAV9_60.txt</v>
      </c>
    </row>
    <row r="159" spans="1:12" ht="60" x14ac:dyDescent="0.25">
      <c r="A159" t="s">
        <v>516</v>
      </c>
      <c r="B159" t="s">
        <v>517</v>
      </c>
      <c r="C159">
        <v>1992</v>
      </c>
      <c r="D159" t="s">
        <v>518</v>
      </c>
      <c r="E159" t="s">
        <v>519</v>
      </c>
      <c r="F159">
        <v>13</v>
      </c>
      <c r="G159" t="s">
        <v>520</v>
      </c>
      <c r="H159" s="1" t="str">
        <f>_xlfn.TEXTJOIN(CHAR(10),FALSE, _xlfn.TEXTSPLIT(Table_textAnnotations[[#This Row],[Anno_Text]], "ABSATZ"))</f>
        <v>Zu Petting  gehört übrigens nicht immer das gegenseitige Streicheln und Berüh13 ren der Geschlechtsteile. Wenn aber beide dazu bereit sind, wird die  Lust danach, den andern zu erregen und erregt zu werden, immer  intensiver. Wie dies abläuft, dafür gibt es allerdings kein Schema.  Vielleicht beginnt der Mann zuerst, den Kitzler (die Klitoris), die empfindsamste Stelle bei der Frau, zu berühren und zu reiben: wie stark  oder wie schnell, das hängt davon ab, wie es für die Partnerin am  schönsten ist.</v>
      </c>
      <c r="I159" s="1" t="s">
        <v>1422</v>
      </c>
      <c r="J159" s="2" t="b">
        <v>1</v>
      </c>
      <c r="L159" t="str">
        <f>_xlfn.TEXTJOIN("_",TRUE,Table_textAnnotations[[#This Row],[Buch_Key]],Table_textAnnotations[[#This Row],[Anno_Key]],IF(ISBLANK(Table_textAnnotations[[#This Row],[Anno_Page_manuell]]),Table_textAnnotations[[#This Row],[Anno_Page_Auto]],Table_textAnnotations[[#This Row],[Anno_Page_manuell]]))&amp; ".txt"</f>
        <v>XU4JUW6R_XWUGHQ56_13.txt</v>
      </c>
    </row>
    <row r="160" spans="1:12" ht="45" x14ac:dyDescent="0.25">
      <c r="A160" t="s">
        <v>516</v>
      </c>
      <c r="B160" t="s">
        <v>517</v>
      </c>
      <c r="C160">
        <v>1992</v>
      </c>
      <c r="D160" t="s">
        <v>521</v>
      </c>
      <c r="E160" t="s">
        <v>522</v>
      </c>
      <c r="F160">
        <v>19</v>
      </c>
      <c r="G160" t="s">
        <v>523</v>
      </c>
      <c r="H160" s="1" t="str">
        <f>_xlfn.TEXTJOIN(CHAR(10),FALSE, _xlfn.TEXTSPLIT(Table_textAnnotations[[#This Row],[Anno_Text]], "ABSATZ"))</f>
        <v>Zu sich selber zärtlich sein und sich selber durch Streicheln und Reiben der Klitoris beziehungsweise des Penis zum Orgasmus zu bringen, ist keineswegs etwas Schmutziges oder Unanständiges. Es bedeutet auch nicht, dass jemand deshalb unfähig ist, eine Liebesbeziehung zu haben.</v>
      </c>
      <c r="I160" s="1" t="s">
        <v>523</v>
      </c>
      <c r="J160" s="2" t="b">
        <v>0</v>
      </c>
      <c r="L160" t="str">
        <f>_xlfn.TEXTJOIN("_",TRUE,Table_textAnnotations[[#This Row],[Buch_Key]],Table_textAnnotations[[#This Row],[Anno_Key]],IF(ISBLANK(Table_textAnnotations[[#This Row],[Anno_Page_manuell]]),Table_textAnnotations[[#This Row],[Anno_Page_Auto]],Table_textAnnotations[[#This Row],[Anno_Page_manuell]]))&amp; ".txt"</f>
        <v>XU4JUW6R_PXILTRAU_19.txt</v>
      </c>
    </row>
    <row r="161" spans="1:12" ht="60" x14ac:dyDescent="0.25">
      <c r="A161" t="s">
        <v>516</v>
      </c>
      <c r="B161" t="s">
        <v>517</v>
      </c>
      <c r="C161">
        <v>1992</v>
      </c>
      <c r="D161" t="s">
        <v>524</v>
      </c>
      <c r="E161" t="s">
        <v>353</v>
      </c>
      <c r="F161">
        <v>40</v>
      </c>
      <c r="G161" t="s">
        <v>525</v>
      </c>
      <c r="H161" s="1" t="str">
        <f>_xlfn.TEXTJOIN(CHAR(10),FALSE, _xlfn.TEXTSPLIT(Table_textAnnotations[[#This Row],[Anno_Text]], "ABSATZ"))</f>
        <v>Bei Frauen wird mit dem Aufkommen sexueller Erregung die  Scheide feucht. Aus Blutgefässen, welche die Scheide umgeben, sikkert nämlich die «Erregungsflüssigkeit» ins Innere der Scheide, sobald  ihre Wände durch die Erregung anschwellen. Auch der Kitzler (die  Klitoris) schwillt etwas an. Der Kitzler ist ein Lustorgan, das für Berührungen sehr empfänglich ist. Er besitzt übrigens ebensoviele Nervenendigungen zur Reizaufnahme wie der Penis des Mannes.</v>
      </c>
      <c r="I161" s="1" t="s">
        <v>525</v>
      </c>
      <c r="J161" s="2" t="b">
        <v>1</v>
      </c>
      <c r="L161" t="str">
        <f>_xlfn.TEXTJOIN("_",TRUE,Table_textAnnotations[[#This Row],[Buch_Key]],Table_textAnnotations[[#This Row],[Anno_Key]],IF(ISBLANK(Table_textAnnotations[[#This Row],[Anno_Page_manuell]]),Table_textAnnotations[[#This Row],[Anno_Page_Auto]],Table_textAnnotations[[#This Row],[Anno_Page_manuell]]))&amp; ".txt"</f>
        <v>XU4JUW6R_MULZUXGD_40.txt</v>
      </c>
    </row>
    <row r="162" spans="1:12" ht="30" x14ac:dyDescent="0.25">
      <c r="A162" t="s">
        <v>516</v>
      </c>
      <c r="B162" t="s">
        <v>517</v>
      </c>
      <c r="C162">
        <v>1992</v>
      </c>
      <c r="D162" t="s">
        <v>526</v>
      </c>
      <c r="E162" t="s">
        <v>353</v>
      </c>
      <c r="F162">
        <v>40</v>
      </c>
      <c r="G162" t="s">
        <v>527</v>
      </c>
      <c r="H162" s="1" t="str">
        <f>_xlfn.TEXTJOIN(CHAR(10),FALSE, _xlfn.TEXTSPLIT(Table_textAnnotations[[#This Row],[Anno_Text]], "ABSATZ"))</f>
        <v>Mädchen wissen oft gar nicht so recht, wo denn überhaupt ihr Urin  herausfliesst. Das ist bei Frauen anders als bei Männern: Der Urin  kommt nicht etwa durch den Kitzler heraus, sondern durch eine Öffnung, die du zwischen dem Kitzler und dem Scheideneingang findest.</v>
      </c>
      <c r="I162" s="1" t="s">
        <v>1450</v>
      </c>
      <c r="J162" s="2" t="b">
        <v>1</v>
      </c>
      <c r="L162" t="str">
        <f>_xlfn.TEXTJOIN("_",TRUE,Table_textAnnotations[[#This Row],[Buch_Key]],Table_textAnnotations[[#This Row],[Anno_Key]],IF(ISBLANK(Table_textAnnotations[[#This Row],[Anno_Page_manuell]]),Table_textAnnotations[[#This Row],[Anno_Page_Auto]],Table_textAnnotations[[#This Row],[Anno_Page_manuell]]))&amp; ".txt"</f>
        <v>XU4JUW6R_5SY34425_40.txt</v>
      </c>
    </row>
    <row r="163" spans="1:12" ht="75" x14ac:dyDescent="0.25">
      <c r="A163" t="s">
        <v>528</v>
      </c>
      <c r="B163" t="s">
        <v>529</v>
      </c>
      <c r="C163">
        <v>1993</v>
      </c>
      <c r="D163" t="s">
        <v>530</v>
      </c>
      <c r="E163" t="s">
        <v>531</v>
      </c>
      <c r="G163" t="s">
        <v>532</v>
      </c>
      <c r="H163" s="1" t="str">
        <f>_xlfn.TEXTJOIN(CHAR(10),FALSE, _xlfn.TEXTSPLIT(Table_textAnnotations[[#This Row],[Anno_Text]], "ABSATZ"))</f>
        <v>Die großen Schamlippen weichen auseinander, verschieben sich nach vorne seitlich und schwellen bei fortgesetzter Erregung durch venöse Blutstauung an. Die kleinen Schamlippen nehmen durch Blutfüllung um das 2- bis  3 fache zu und schieben sich zwischen die großen Schamlippen. Sie ändern  ihre Farbe von rosa zu hellrot. Die Klitoris schwillt an, nimmt an Länge zu  und wird an den Rand des Schambeins gezogen. Diese Vergrößerung der  äußeren Genitalien ist auf eine vermehrte Blutfüllung der Organe zurückzuführen. Sie wird möglicherweise durch vasodilatatorisch wirkende parasympathische Efferenzen aus dem Sakralmark, die in den Beckennerven laufen,  erzeugt (Abb. 6-15).</v>
      </c>
      <c r="I163" s="1" t="s">
        <v>532</v>
      </c>
      <c r="J163" s="2" t="b">
        <v>1</v>
      </c>
      <c r="L163" t="str">
        <f>_xlfn.TEXTJOIN("_",TRUE,Table_textAnnotations[[#This Row],[Buch_Key]],Table_textAnnotations[[#This Row],[Anno_Key]],IF(ISBLANK(Table_textAnnotations[[#This Row],[Anno_Page_manuell]]),Table_textAnnotations[[#This Row],[Anno_Page_Auto]],Table_textAnnotations[[#This Row],[Anno_Page_manuell]]))&amp; ".txt"</f>
        <v>XBZSN3EB_ARGNRUB7_184.txt</v>
      </c>
    </row>
    <row r="164" spans="1:12" ht="30" x14ac:dyDescent="0.25">
      <c r="A164" t="s">
        <v>533</v>
      </c>
      <c r="B164" t="s">
        <v>534</v>
      </c>
      <c r="C164">
        <v>1994</v>
      </c>
      <c r="D164" t="s">
        <v>535</v>
      </c>
      <c r="E164" t="s">
        <v>536</v>
      </c>
      <c r="G164" t="s">
        <v>537</v>
      </c>
      <c r="H164" s="1" t="str">
        <f>_xlfn.TEXTJOIN(CHAR(10),FALSE, _xlfn.TEXTSPLIT(Table_textAnnotations[[#This Row],[Anno_Text]], "ABSATZ"))</f>
        <v>Die Hauptlokalisation  des Vulvakarzinoms betrifft in ca. 70 % die Labien. Der Klitorisbereich als nächsthäufige Lokalisation ist stadienabhängig mit 8  bis 18% beteiligt, die hintere Kommissur bzw. deren Umgebung mit  6 bis 9 %.</v>
      </c>
      <c r="I164" s="1" t="s">
        <v>537</v>
      </c>
      <c r="J164" s="2" t="b">
        <v>0</v>
      </c>
      <c r="L164" t="str">
        <f>_xlfn.TEXTJOIN("_",TRUE,Table_textAnnotations[[#This Row],[Buch_Key]],Table_textAnnotations[[#This Row],[Anno_Key]],IF(ISBLANK(Table_textAnnotations[[#This Row],[Anno_Page_manuell]]),Table_textAnnotations[[#This Row],[Anno_Page_Auto]],Table_textAnnotations[[#This Row],[Anno_Page_manuell]]))&amp; ".txt"</f>
        <v>QC5PQ8DF_R5K9R82R_8.txt</v>
      </c>
    </row>
    <row r="165" spans="1:12" ht="30" x14ac:dyDescent="0.25">
      <c r="A165" t="s">
        <v>533</v>
      </c>
      <c r="B165" t="s">
        <v>534</v>
      </c>
      <c r="C165">
        <v>1994</v>
      </c>
      <c r="D165" t="s">
        <v>538</v>
      </c>
      <c r="E165" t="s">
        <v>539</v>
      </c>
      <c r="G165" t="s">
        <v>540</v>
      </c>
      <c r="H165" s="1" t="str">
        <f>_xlfn.TEXTJOIN(CHAR(10),FALSE, _xlfn.TEXTSPLIT(Table_textAnnotations[[#This Row],[Anno_Text]], "ABSATZ"))</f>
        <v>Weniger gut ausgeprägte lymphatische Ausbreitungswege verlaufen  ventral von der Klitoris infrapubisch entlang der Urethra und  dorsal von der Kommissur entlang der A. pudenda interna direkt zu  den pelvinen Lymphknoten.</v>
      </c>
      <c r="I165" s="1" t="s">
        <v>540</v>
      </c>
      <c r="J165" s="2" t="b">
        <v>1</v>
      </c>
      <c r="L165" t="str">
        <f>_xlfn.TEXTJOIN("_",TRUE,Table_textAnnotations[[#This Row],[Buch_Key]],Table_textAnnotations[[#This Row],[Anno_Key]],IF(ISBLANK(Table_textAnnotations[[#This Row],[Anno_Page_manuell]]),Table_textAnnotations[[#This Row],[Anno_Page_Auto]],Table_textAnnotations[[#This Row],[Anno_Page_manuell]]))&amp; ".txt"</f>
        <v>QC5PQ8DF_5E22RECU_13.txt</v>
      </c>
    </row>
    <row r="166" spans="1:12" ht="45" x14ac:dyDescent="0.25">
      <c r="A166" t="s">
        <v>533</v>
      </c>
      <c r="B166" t="s">
        <v>534</v>
      </c>
      <c r="C166">
        <v>1994</v>
      </c>
      <c r="D166" t="s">
        <v>541</v>
      </c>
      <c r="E166" t="s">
        <v>327</v>
      </c>
      <c r="F166">
        <v>30</v>
      </c>
      <c r="G166" t="s">
        <v>542</v>
      </c>
      <c r="H166" s="1" t="str">
        <f>_xlfn.TEXTJOIN(CHAR(10),FALSE, _xlfn.TEXTSPLIT(Table_textAnnotations[[#This Row],[Anno_Text]], "ABSATZ"))</f>
        <v>In unserem Krankengut waren die malignen Veränderungen im Bereich  der Vulva folgendermaßen lokalisiert:  35,3% der Vulvakarzinome fanden sich an den großen Labien,  12,4% an den kleinen Labien, 11,1 % waren an der Klitoris, 8 %  an der hinteren Kommissur und im Analbereich.</v>
      </c>
      <c r="I166" s="1" t="s">
        <v>542</v>
      </c>
      <c r="J166" s="2" t="b">
        <v>0</v>
      </c>
      <c r="L166" t="str">
        <f>_xlfn.TEXTJOIN("_",TRUE,Table_textAnnotations[[#This Row],[Buch_Key]],Table_textAnnotations[[#This Row],[Anno_Key]],IF(ISBLANK(Table_textAnnotations[[#This Row],[Anno_Page_manuell]]),Table_textAnnotations[[#This Row],[Anno_Page_Auto]],Table_textAnnotations[[#This Row],[Anno_Page_manuell]]))&amp; ".txt"</f>
        <v>QC5PQ8DF_T23CYUH6_30.txt</v>
      </c>
    </row>
    <row r="167" spans="1:12" ht="45" x14ac:dyDescent="0.25">
      <c r="A167" t="s">
        <v>533</v>
      </c>
      <c r="B167" t="s">
        <v>534</v>
      </c>
      <c r="C167">
        <v>1994</v>
      </c>
      <c r="D167" t="s">
        <v>543</v>
      </c>
      <c r="E167" t="s">
        <v>544</v>
      </c>
      <c r="F167">
        <v>59</v>
      </c>
      <c r="G167" t="s">
        <v>545</v>
      </c>
      <c r="H167" s="1" t="str">
        <f>_xlfn.TEXTJOIN(CHAR(10),FALSE, _xlfn.TEXTSPLIT(Table_textAnnotations[[#This Row],[Anno_Text]], "ABSATZ"))</f>
        <v>Das Vulvakarzinom wurde bei 35,5 % im Bereich der großen Labien  lokalisiert, bei 12,1 % an den kleinen Labien und primär war die  Klitoris in 11 Fällen (11,1 %) beteiligt. 32,8 % wiesen mehrfache  Tumorlokalisationen auf und bei 8 % war der Tumor an der hinteren  Kommissur lokalisiert. Ähnliche Zahlen werden in der Literatur  angegeben. /30/32/34/59/90/122/</v>
      </c>
      <c r="I167" s="1" t="s">
        <v>545</v>
      </c>
      <c r="J167" s="2" t="b">
        <v>0</v>
      </c>
      <c r="L167" t="str">
        <f>_xlfn.TEXTJOIN("_",TRUE,Table_textAnnotations[[#This Row],[Buch_Key]],Table_textAnnotations[[#This Row],[Anno_Key]],IF(ISBLANK(Table_textAnnotations[[#This Row],[Anno_Page_manuell]]),Table_textAnnotations[[#This Row],[Anno_Page_Auto]],Table_textAnnotations[[#This Row],[Anno_Page_manuell]]))&amp; ".txt"</f>
        <v>QC5PQ8DF_XUPRTAUG_59.txt</v>
      </c>
    </row>
    <row r="168" spans="1:12" ht="60" x14ac:dyDescent="0.25">
      <c r="A168" t="s">
        <v>546</v>
      </c>
      <c r="B168" t="s">
        <v>547</v>
      </c>
      <c r="C168">
        <v>1995</v>
      </c>
      <c r="D168" t="s">
        <v>548</v>
      </c>
      <c r="E168" t="s">
        <v>549</v>
      </c>
      <c r="G168" t="s">
        <v>550</v>
      </c>
      <c r="H168" s="1" t="str">
        <f>_xlfn.TEXTJOIN(CHAR(10),FALSE, _xlfn.TEXTSPLIT(Table_textAnnotations[[#This Row],[Anno_Text]], "ABSATZ"))</f>
        <v>Sulphur: Jucken in der Scheide oder belästigendes an den [äußeren]  Teilen; und mit Ausschlagsblüten [Pickelchen] umher; nicht schmerzhafte  Bläschen an der äußeren Scham.4 - Heftiges Jucken von Klitoris und  Vagina.10 [Brennen an der Scham (oder auch in der Scheide), kaum das Sitzen zulassend.4 Entzündung einer Schamlippe mit Brennschmerz, am meisten beim Harnen.4 - Wunde Stelle an der Scham und  am Perineum.4]</v>
      </c>
      <c r="I168" s="1" t="s">
        <v>550</v>
      </c>
      <c r="J168" s="2" t="b">
        <v>0</v>
      </c>
      <c r="L168" t="str">
        <f>_xlfn.TEXTJOIN("_",TRUE,Table_textAnnotations[[#This Row],[Buch_Key]],Table_textAnnotations[[#This Row],[Anno_Key]],IF(ISBLANK(Table_textAnnotations[[#This Row],[Anno_Page_manuell]]),Table_textAnnotations[[#This Row],[Anno_Page_Auto]],Table_textAnnotations[[#This Row],[Anno_Page_manuell]]))&amp; ".txt"</f>
        <v>NBPIGZ4T_YV9SIR29_1585.txt</v>
      </c>
    </row>
    <row r="169" spans="1:12" ht="45" x14ac:dyDescent="0.25">
      <c r="A169" t="s">
        <v>551</v>
      </c>
      <c r="B169" t="s">
        <v>552</v>
      </c>
      <c r="C169">
        <v>1996</v>
      </c>
      <c r="D169" t="s">
        <v>553</v>
      </c>
      <c r="E169" t="s">
        <v>37</v>
      </c>
      <c r="G169" t="s">
        <v>554</v>
      </c>
      <c r="H169" s="1" t="str">
        <f>_xlfn.TEXTJOIN(CHAR(10),FALSE, _xlfn.TEXTSPLIT(Table_textAnnotations[[#This Row],[Anno_Text]], "ABSATZ"))</f>
        <v>Fährt er ihr über die  Innenseite der Oberschenkel oder berührt er die äußeren Geschlechtsorgane, die Schamlippen, die Klitoris und schließlich  auch die Vagina, fühlt sie sich schon ganz heiß und feucht an  und bäumt sich ihm entgegen. Hat er sie so stimuliert, fiebert  ihm alles in ihr entgegen.</v>
      </c>
      <c r="I169" s="1" t="s">
        <v>554</v>
      </c>
      <c r="J169" s="2" t="b">
        <v>0</v>
      </c>
      <c r="L169" t="str">
        <f>_xlfn.TEXTJOIN("_",TRUE,Table_textAnnotations[[#This Row],[Buch_Key]],Table_textAnnotations[[#This Row],[Anno_Key]],IF(ISBLANK(Table_textAnnotations[[#This Row],[Anno_Page_manuell]]),Table_textAnnotations[[#This Row],[Anno_Page_Auto]],Table_textAnnotations[[#This Row],[Anno_Page_manuell]]))&amp; ".txt"</f>
        <v>VF2PAZFF_Q5VHW5IX_43.txt</v>
      </c>
    </row>
    <row r="170" spans="1:12" ht="45" x14ac:dyDescent="0.25">
      <c r="A170" t="s">
        <v>551</v>
      </c>
      <c r="B170" t="s">
        <v>552</v>
      </c>
      <c r="C170">
        <v>1996</v>
      </c>
      <c r="D170" t="s">
        <v>555</v>
      </c>
      <c r="E170" t="s">
        <v>556</v>
      </c>
      <c r="G170" t="s">
        <v>557</v>
      </c>
      <c r="H170" s="1" t="str">
        <f>_xlfn.TEXTJOIN(CHAR(10),FALSE, _xlfn.TEXTSPLIT(Table_textAnnotations[[#This Row],[Anno_Text]], "ABSATZ"))</f>
        <v>Wenn er die Brustwarze erst einmal berührt, sollte er hin  und her darüberfahren. Immer und immer wieder hin und her.  Und zwar so ausdauernd, als gäbe es nichts Wichtigeres auf  der Welt. Ist die Brustwarze dann hart und steif, kann er sachte darüberlecken oder an ihr saugen. Frauen empfinden es als  besonders erregend, wenn ein Mann an ihrer Brustwarze saugt  und gleichzeitig ihre Klitoris massiert.</v>
      </c>
      <c r="I170" s="1" t="s">
        <v>557</v>
      </c>
      <c r="J170" s="2" t="b">
        <v>0</v>
      </c>
      <c r="L170" t="str">
        <f>_xlfn.TEXTJOIN("_",TRUE,Table_textAnnotations[[#This Row],[Buch_Key]],Table_textAnnotations[[#This Row],[Anno_Key]],IF(ISBLANK(Table_textAnnotations[[#This Row],[Anno_Page_manuell]]),Table_textAnnotations[[#This Row],[Anno_Page_Auto]],Table_textAnnotations[[#This Row],[Anno_Page_manuell]]))&amp; ".txt"</f>
        <v>VF2PAZFF_3KAFHDT2_46.txt</v>
      </c>
    </row>
    <row r="171" spans="1:12" ht="30" x14ac:dyDescent="0.25">
      <c r="A171" t="s">
        <v>551</v>
      </c>
      <c r="B171" t="s">
        <v>552</v>
      </c>
      <c r="C171">
        <v>1996</v>
      </c>
      <c r="D171" t="s">
        <v>558</v>
      </c>
      <c r="E171" t="s">
        <v>559</v>
      </c>
      <c r="G171" t="s">
        <v>560</v>
      </c>
      <c r="H171" s="1" t="str">
        <f>_xlfn.TEXTJOIN(CHAR(10),FALSE, _xlfn.TEXTSPLIT(Table_textAnnotations[[#This Row],[Anno_Text]], "ABSATZ"))</f>
        <v>Anstatt das Höschen ohne Umschweife auszuziehen, könnte der Mann die Frau berühren, indem er hinten innerhalb  des Höschens bis ganz nach vorn entlangfährt. Er kann auch  schon das feuchte Schamhaar um die Klitoris herum erforschen.</v>
      </c>
      <c r="I171" s="1" t="s">
        <v>560</v>
      </c>
      <c r="J171" s="2" t="b">
        <v>0</v>
      </c>
      <c r="L171" t="str">
        <f>_xlfn.TEXTJOIN("_",TRUE,Table_textAnnotations[[#This Row],[Buch_Key]],Table_textAnnotations[[#This Row],[Anno_Key]],IF(ISBLANK(Table_textAnnotations[[#This Row],[Anno_Page_manuell]]),Table_textAnnotations[[#This Row],[Anno_Page_Auto]],Table_textAnnotations[[#This Row],[Anno_Page_manuell]]))&amp; ".txt"</f>
        <v>VF2PAZFF_HMWR45E2_47.txt</v>
      </c>
    </row>
    <row r="172" spans="1:12" ht="30" x14ac:dyDescent="0.25">
      <c r="A172" t="s">
        <v>551</v>
      </c>
      <c r="B172" t="s">
        <v>552</v>
      </c>
      <c r="C172">
        <v>1996</v>
      </c>
      <c r="D172" t="s">
        <v>561</v>
      </c>
      <c r="E172" t="s">
        <v>559</v>
      </c>
      <c r="G172" t="s">
        <v>562</v>
      </c>
      <c r="H172" s="1" t="str">
        <f>_xlfn.TEXTJOIN(CHAR(10),FALSE, _xlfn.TEXTSPLIT(Table_textAnnotations[[#This Row],[Anno_Text]], "ABSATZ"))</f>
        <v>Wenn er ihr dann endgültig das Höschen ausgezogen hat,  kann er sich der Innenseite der Oberschenkel eingehender  widmen und die äußeren Schamlippen umkreisen, bis nur  noch die Klitoris ausgespart bleibt.</v>
      </c>
      <c r="I172" s="1" t="s">
        <v>562</v>
      </c>
      <c r="J172" s="2" t="b">
        <v>0</v>
      </c>
      <c r="L172" t="str">
        <f>_xlfn.TEXTJOIN("_",TRUE,Table_textAnnotations[[#This Row],[Buch_Key]],Table_textAnnotations[[#This Row],[Anno_Key]],IF(ISBLANK(Table_textAnnotations[[#This Row],[Anno_Page_manuell]]),Table_textAnnotations[[#This Row],[Anno_Page_Auto]],Table_textAnnotations[[#This Row],[Anno_Page_manuell]]))&amp; ".txt"</f>
        <v>VF2PAZFF_Z5WYU8SG_47.txt</v>
      </c>
    </row>
    <row r="173" spans="1:12" ht="90" x14ac:dyDescent="0.25">
      <c r="A173" t="s">
        <v>551</v>
      </c>
      <c r="B173" t="s">
        <v>552</v>
      </c>
      <c r="C173">
        <v>1996</v>
      </c>
      <c r="D173" t="s">
        <v>563</v>
      </c>
      <c r="E173" t="s">
        <v>559</v>
      </c>
      <c r="G173" t="s">
        <v>564</v>
      </c>
      <c r="H173" s="1" t="str">
        <f>_xlfn.TEXTJOIN(CHAR(10),FALSE, _xlfn.TEXTSPLIT(Table_textAnnotations[[#This Row],[Anno_Text]], "ABSATZ"))</f>
        <v>Die Klitoris berühren Oft vergessen Männer ganz, die Klitoris zu berühren. Frauen haben in meinen Beratungsstunden oft moniert, daß ihre Partner sie dort nicht berühren, die Stelle garantiert verfehlen, wenn sie es versuchen, oder sich nicht lange genug damit aufhalten, wenn sie die Stelle finden. Viele Frauen schließen daraus, daß sich ihr Partner nicht viel aus ihnen macht. Im allgemeinen entspricht das nicht der Wahrheit. Männer vergessen oft, die Klitoris zu berühren, weil sie nicht daran denken, wie wichtig das für die Frauen ist. Bei Befragungen und in Sexualstudien haben Frauen ausgesagt, daß ihre Orgasmen zu 98 Prozent dem Stimulieren der Klitoris zuzuschreiben sind.</v>
      </c>
      <c r="I173" s="1" t="s">
        <v>564</v>
      </c>
      <c r="J173" s="2" t="b">
        <v>0</v>
      </c>
      <c r="L173" t="str">
        <f>_xlfn.TEXTJOIN("_",TRUE,Table_textAnnotations[[#This Row],[Buch_Key]],Table_textAnnotations[[#This Row],[Anno_Key]],IF(ISBLANK(Table_textAnnotations[[#This Row],[Anno_Page_manuell]]),Table_textAnnotations[[#This Row],[Anno_Page_Auto]],Table_textAnnotations[[#This Row],[Anno_Page_manuell]]))&amp; ".txt"</f>
        <v>VF2PAZFF_72IU679E_47.txt</v>
      </c>
    </row>
    <row r="174" spans="1:12" ht="45" x14ac:dyDescent="0.25">
      <c r="A174" t="s">
        <v>551</v>
      </c>
      <c r="B174" t="s">
        <v>552</v>
      </c>
      <c r="C174">
        <v>1996</v>
      </c>
      <c r="D174" t="s">
        <v>565</v>
      </c>
      <c r="E174" t="s">
        <v>566</v>
      </c>
      <c r="G174" t="s">
        <v>567</v>
      </c>
      <c r="H174" s="1" t="str">
        <f>_xlfn.TEXTJOIN(CHAR(10),FALSE, _xlfn.TEXTSPLIT(Table_textAnnotations[[#This Row],[Anno_Text]], "ABSATZ"))</f>
        <v>Männer vergessen oft, die Klitoris der Frau  zu stimulieren, weil ihnen ihr Instinkt nicht sagt,  daẞ fast alle Orgasmen der Frau auf die  Stimulierung der Klitoris zurückzuführen sind.  Auf Lieblosigkeit darf die Frau jedoch aufgrund  dieser Unterlassungssünde nicht gleich schließen.</v>
      </c>
      <c r="I174" s="1" t="s">
        <v>567</v>
      </c>
      <c r="J174" s="2" t="b">
        <v>0</v>
      </c>
      <c r="L174" t="str">
        <f>_xlfn.TEXTJOIN("_",TRUE,Table_textAnnotations[[#This Row],[Buch_Key]],Table_textAnnotations[[#This Row],[Anno_Key]],IF(ISBLANK(Table_textAnnotations[[#This Row],[Anno_Page_manuell]]),Table_textAnnotations[[#This Row],[Anno_Page_Auto]],Table_textAnnotations[[#This Row],[Anno_Page_manuell]]))&amp; ".txt"</f>
        <v>VF2PAZFF_FUEWWT25_48.txt</v>
      </c>
    </row>
    <row r="175" spans="1:12" ht="45" x14ac:dyDescent="0.25">
      <c r="A175" t="s">
        <v>551</v>
      </c>
      <c r="B175" t="s">
        <v>552</v>
      </c>
      <c r="C175">
        <v>1996</v>
      </c>
      <c r="D175" t="s">
        <v>568</v>
      </c>
      <c r="E175" t="s">
        <v>566</v>
      </c>
      <c r="G175" t="s">
        <v>569</v>
      </c>
      <c r="H175" s="1" t="str">
        <f>_xlfn.TEXTJOIN(CHAR(10),FALSE, _xlfn.TEXTSPLIT(Table_textAnnotations[[#This Row],[Anno_Text]], "ABSATZ"))</f>
        <v>Er sollte sich einmal vorstellen, wie sich der Sex gestalten  würde, wenn sie seinen Penis nicht berührte. Dann hätte er  wohl nicht viel davon. Ähnlich ergeht es auch ihr. Sex ist für  sie nur dann eine reine Freude, wenn er sich ihrer Klitoris  fünf bis fünfzehn Minuten widmet. Nur so gelangen die Frauen meistens zum Orgasmus.</v>
      </c>
      <c r="I175" s="1" t="s">
        <v>569</v>
      </c>
      <c r="J175" s="2" t="b">
        <v>0</v>
      </c>
      <c r="L175" t="str">
        <f>_xlfn.TEXTJOIN("_",TRUE,Table_textAnnotations[[#This Row],[Buch_Key]],Table_textAnnotations[[#This Row],[Anno_Key]],IF(ISBLANK(Table_textAnnotations[[#This Row],[Anno_Page_manuell]]),Table_textAnnotations[[#This Row],[Anno_Page_Auto]],Table_textAnnotations[[#This Row],[Anno_Page_manuell]]))&amp; ".txt"</f>
        <v>VF2PAZFF_4CFMF387_48.txt</v>
      </c>
    </row>
    <row r="176" spans="1:12" ht="60" x14ac:dyDescent="0.25">
      <c r="A176" t="s">
        <v>551</v>
      </c>
      <c r="B176" t="s">
        <v>552</v>
      </c>
      <c r="C176">
        <v>1996</v>
      </c>
      <c r="D176" t="s">
        <v>570</v>
      </c>
      <c r="E176" t="s">
        <v>566</v>
      </c>
      <c r="G176" t="s">
        <v>571</v>
      </c>
      <c r="H176" s="1" t="str">
        <f>_xlfn.TEXTJOIN(CHAR(10),FALSE, _xlfn.TEXTSPLIT(Table_textAnnotations[[#This Row],[Anno_Text]], "ABSATZ"))</f>
        <v>In meinen Beratungsstunden bekomme ich von Männern  oft zu hören, daß sie die Klitoris ihrer Partnerin fünf bis zehn  Minuten streicheln. Wenn ihr Mann nicht dabei ist, behaupten  die Frauen dagegen, daß er sie dort kaum je berührt, und wenn  das doch einmal der Fall ist, dann höchstens eine oder zwei  Minuten.  In so einem Fall verrate ich den Frauen, daß die Männer  der Überzeugung sind, sie widmeten sich der Klitoris viel länger.</v>
      </c>
      <c r="I176" s="1" t="s">
        <v>571</v>
      </c>
      <c r="J176" s="2" t="b">
        <v>0</v>
      </c>
      <c r="L176" t="str">
        <f>_xlfn.TEXTJOIN("_",TRUE,Table_textAnnotations[[#This Row],[Buch_Key]],Table_textAnnotations[[#This Row],[Anno_Key]],IF(ISBLANK(Table_textAnnotations[[#This Row],[Anno_Page_manuell]]),Table_textAnnotations[[#This Row],[Anno_Page_Auto]],Table_textAnnotations[[#This Row],[Anno_Page_manuell]]))&amp; ".txt"</f>
        <v>VF2PAZFF_4WHZR6UP_48.txt</v>
      </c>
    </row>
    <row r="177" spans="1:12" ht="120" x14ac:dyDescent="0.25">
      <c r="A177" t="s">
        <v>551</v>
      </c>
      <c r="B177" t="s">
        <v>552</v>
      </c>
      <c r="C177">
        <v>1996</v>
      </c>
      <c r="D177" t="s">
        <v>572</v>
      </c>
      <c r="E177" t="s">
        <v>573</v>
      </c>
      <c r="G177" t="s">
        <v>574</v>
      </c>
      <c r="H177" s="1" t="str">
        <f>_xlfn.TEXTJOIN(CHAR(10),FALSE, _xlfn.TEXTSPLIT(Table_textAnnotations[[#This Row],[Anno_Text]], "ABSATZ"))</f>
        <v>Wenn er sich der Klitoris der Frau nicht lange genug widmet, sollte sie einfach hinunterlangen und sich dort selbst berühren. Damit macht sie ihm deutlich klar, was in ihr vorgeht,  und er empfindet das nicht als Kritik, fühlt sich weder gerügt  noch bevormundet. Wenn er merkt, wieviel ihr das bedeutet,  wird er sich ganz automatisch mehr Zeit dafür nehmen.  Möchte sie aber, daß er sie anders berührt, braucht sie nicht  stillschweigend mit einer Engelsgeduld zu ertragen, was er tut.  Sie braucht nur hinunterzulangen, um ihm vorzumachen, was  sie möchte. Der Mann sollte sich dabei - auf ein Kissen gestützt – über sie beugen und ihr genau zusehen.  Notfalls kann der Mann auch anhand des Weckers feststellen, wie lange er sich diesem Vorspiel widmet. Das klingt nicht  sehr romantisch, ist aber eine sehr wirksame Methode. Der  Mann kann ja diskret einen Wecker auf das Nachttischchen  stellen und von Zeit zu Zeit auf die Uhr sehen, um festzustellen, wie lange er ihre Schamlippen und Klitoris schon streichelt.</v>
      </c>
      <c r="I177" s="1" t="s">
        <v>574</v>
      </c>
      <c r="J177" s="2" t="b">
        <v>0</v>
      </c>
      <c r="L177" t="str">
        <f>_xlfn.TEXTJOIN("_",TRUE,Table_textAnnotations[[#This Row],[Buch_Key]],Table_textAnnotations[[#This Row],[Anno_Key]],IF(ISBLANK(Table_textAnnotations[[#This Row],[Anno_Page_manuell]]),Table_textAnnotations[[#This Row],[Anno_Page_Auto]],Table_textAnnotations[[#This Row],[Anno_Page_manuell]]))&amp; ".txt"</f>
        <v>VF2PAZFF_UVLVVGD8_49.txt</v>
      </c>
    </row>
    <row r="178" spans="1:12" ht="45" x14ac:dyDescent="0.25">
      <c r="A178" t="s">
        <v>551</v>
      </c>
      <c r="B178" t="s">
        <v>552</v>
      </c>
      <c r="C178">
        <v>1996</v>
      </c>
      <c r="D178" t="s">
        <v>575</v>
      </c>
      <c r="E178" t="s">
        <v>412</v>
      </c>
      <c r="G178" t="s">
        <v>576</v>
      </c>
      <c r="H178" s="1" t="str">
        <f>_xlfn.TEXTJOIN(CHAR(10),FALSE, _xlfn.TEXTSPLIT(Table_textAnnotations[[#This Row],[Anno_Text]], "ABSATZ"))</f>
        <v>Für Sam hing alles vom Berühren der Klitoris der Frau ab.  Wurde sie sehr erregt, wußte er, daß er irgend etwas richtig  gemacht hatte. Aber was? Ich schlug ihm vor, seine Partnerin  Ellen zu bitten, ihn kurz in die Geheimnisse ihres Körpers  einzuweihen, um sein Selbstvertrauen zu stärken. Ich empfahl  dem Paar, sich locker und beiläufig zu unterhalten und nicht  zu versuchen, sich daran aufzugeilen.</v>
      </c>
      <c r="I178" s="1" t="s">
        <v>576</v>
      </c>
      <c r="J178" s="2" t="b">
        <v>0</v>
      </c>
      <c r="L178" t="str">
        <f>_xlfn.TEXTJOIN("_",TRUE,Table_textAnnotations[[#This Row],[Buch_Key]],Table_textAnnotations[[#This Row],[Anno_Key]],IF(ISBLANK(Table_textAnnotations[[#This Row],[Anno_Page_manuell]]),Table_textAnnotations[[#This Row],[Anno_Page_Auto]],Table_textAnnotations[[#This Row],[Anno_Page_manuell]]))&amp; ".txt"</f>
        <v>VF2PAZFF_R6JWINSI_57.txt</v>
      </c>
    </row>
    <row r="179" spans="1:12" ht="60" x14ac:dyDescent="0.25">
      <c r="A179" t="s">
        <v>551</v>
      </c>
      <c r="B179" t="s">
        <v>552</v>
      </c>
      <c r="C179">
        <v>1996</v>
      </c>
      <c r="D179" t="s">
        <v>577</v>
      </c>
      <c r="E179" t="s">
        <v>364</v>
      </c>
      <c r="G179" t="s">
        <v>578</v>
      </c>
      <c r="H179" s="1" t="str">
        <f>_xlfn.TEXTJOIN(CHAR(10),FALSE, _xlfn.TEXTSPLIT(Table_textAnnotations[[#This Row],[Anno_Text]], "ABSATZ"))</f>
        <v>Als sie dann später wirklich Verkehr hatten und sie vor Erregung keuchte, wußte Sam, was ihr gefiel, weil er deutlich  vor Augen hatte, was er mit den Händen machte und wo er  Ellen berührte.  Während sie sich unterhielten, sah Sam sich Ellens Sexualorgane ganz genau an, vor allem die Klitoris. Da er genau  wußte, wo die lag, konnte Ellen sicher sein, daß Sam sie immer  ausreichend stimulieren würde. Vor allem aber wußte Sam  genau, was er da unten machte.  Das wirkte tatsächlich Wunder.</v>
      </c>
      <c r="I179" s="1" t="s">
        <v>578</v>
      </c>
      <c r="J179" s="2" t="b">
        <v>0</v>
      </c>
      <c r="L179" t="str">
        <f>_xlfn.TEXTJOIN("_",TRUE,Table_textAnnotations[[#This Row],[Buch_Key]],Table_textAnnotations[[#This Row],[Anno_Key]],IF(ISBLANK(Table_textAnnotations[[#This Row],[Anno_Page_manuell]]),Table_textAnnotations[[#This Row],[Anno_Page_Auto]],Table_textAnnotations[[#This Row],[Anno_Page_manuell]]))&amp; ".txt"</f>
        <v>VF2PAZFF_G4ESZEC2_58.txt</v>
      </c>
    </row>
    <row r="180" spans="1:12" ht="45" x14ac:dyDescent="0.25">
      <c r="A180" t="s">
        <v>551</v>
      </c>
      <c r="B180" t="s">
        <v>552</v>
      </c>
      <c r="C180">
        <v>1996</v>
      </c>
      <c r="D180" t="s">
        <v>579</v>
      </c>
      <c r="E180" t="s">
        <v>580</v>
      </c>
      <c r="F180">
        <v>149</v>
      </c>
      <c r="G180" t="s">
        <v>581</v>
      </c>
      <c r="H180" s="1" t="str">
        <f>_xlfn.TEXTJOIN(CHAR(10),FALSE, _xlfn.TEXTSPLIT(Table_textAnnotations[[#This Row],[Anno_Text]], "ABSATZ"))</f>
        <v>Wenn er sie dadurch zum Orgasmus bringt, daß er ihren  ganzen Körper und ihre Klitoris stimuliert, kommt es zu Kontraktionen ihrer Vagina, und die Frau sehnt sich danach, daß  ihr Partner seinen Penis in sie einführt. Und einen günstigeren  Zeitpunkt dafür kann man sich kaum vorstellen.</v>
      </c>
      <c r="I180" s="1" t="s">
        <v>581</v>
      </c>
      <c r="J180" s="2" t="b">
        <v>0</v>
      </c>
      <c r="L180" t="str">
        <f>_xlfn.TEXTJOIN("_",TRUE,Table_textAnnotations[[#This Row],[Buch_Key]],Table_textAnnotations[[#This Row],[Anno_Key]],IF(ISBLANK(Table_textAnnotations[[#This Row],[Anno_Page_manuell]]),Table_textAnnotations[[#This Row],[Anno_Page_Auto]],Table_textAnnotations[[#This Row],[Anno_Page_manuell]]))&amp; ".txt"</f>
        <v>VF2PAZFF_3XTPQSYA_149.txt</v>
      </c>
    </row>
    <row r="181" spans="1:12" ht="120" x14ac:dyDescent="0.25">
      <c r="A181" t="s">
        <v>551</v>
      </c>
      <c r="B181" t="s">
        <v>552</v>
      </c>
      <c r="C181">
        <v>1996</v>
      </c>
      <c r="D181" t="s">
        <v>582</v>
      </c>
      <c r="E181" t="s">
        <v>583</v>
      </c>
      <c r="F181">
        <v>150</v>
      </c>
      <c r="G181" t="s">
        <v>584</v>
      </c>
      <c r="H181" s="1" t="str">
        <f>_xlfn.TEXTJOIN(CHAR(10),FALSE, _xlfn.TEXTSPLIT(Table_textAnnotations[[#This Row],[Anno_Text]], "ABSATZ"))</f>
        <v>Sie kann ihrem Partner zum Beispiel durch das Schlüssel150 wort &gt;&gt;Bitte!&lt;&lt; verraten, daß sie kurz vor dem Orgasmus steht.  Das kann entweder heißen: »Wenn du nicht aufhörst, komme  ich«&lt;, aber auch: »Tut das gut!« Dadurch weiß er Bescheid,  und es liegt ganz bei ihm, ob er sie weiter stimuliert, bis sie  einen Orgasmus hat, oder ob er ihre Klitoris lieber eine Weile  nicht so direkt berührt, damit sie sich wieder fängt und er sie  erneut erregen kann.  Entschließt er sich zu einer kleinen Pause, muß das jedoch  nicht heißen, daß er seine Partnerin in dieser Zeit gar nicht  mehr berühren darf. Er kann sie überall berühren und ausgesprochen sinnlich streicheln. Doch um ihre Klitoris muß er  einen Bogen machen. So kann sie noch einmal kurz Atem  schöpfen, bevor er sie noch mehr erregt.  Die Zwischenphasen, in denen die Erregung wieder abflaut,  sind ein gutes Training für den Körper. Das Ergebnis ist ein  größerer Lustgewinn. Ich habe einmal einen Versuch gemacht,  der diese These untermauert.</v>
      </c>
      <c r="I181" s="1" t="s">
        <v>584</v>
      </c>
      <c r="J181" s="2" t="b">
        <v>0</v>
      </c>
      <c r="L181" t="str">
        <f>_xlfn.TEXTJOIN("_",TRUE,Table_textAnnotations[[#This Row],[Buch_Key]],Table_textAnnotations[[#This Row],[Anno_Key]],IF(ISBLANK(Table_textAnnotations[[#This Row],[Anno_Page_manuell]]),Table_textAnnotations[[#This Row],[Anno_Page_Auto]],Table_textAnnotations[[#This Row],[Anno_Page_manuell]]))&amp; ".txt"</f>
        <v>VF2PAZFF_VJCSV6KI_150.txt</v>
      </c>
    </row>
    <row r="182" spans="1:12" ht="45" x14ac:dyDescent="0.25">
      <c r="A182" t="s">
        <v>551</v>
      </c>
      <c r="B182" t="s">
        <v>552</v>
      </c>
      <c r="C182">
        <v>1996</v>
      </c>
      <c r="D182" t="s">
        <v>585</v>
      </c>
      <c r="E182" t="s">
        <v>586</v>
      </c>
      <c r="F182">
        <v>179</v>
      </c>
      <c r="G182" t="s">
        <v>587</v>
      </c>
      <c r="H182" s="1" t="str">
        <f>_xlfn.TEXTJOIN(CHAR(10),FALSE, _xlfn.TEXTSPLIT(Table_textAnnotations[[#This Row],[Anno_Text]], "ABSATZ"))</f>
        <v>D  as Stimulieren der Klitoris ist für die Frau ungeheuer  wichtig, doch sie ist so winzig, daß man sie leicht übersieht. Deshalb möchte ich kurz auf die Anatomie der Frau zu  sprechen kommen. Der Begriff »Vulva«&lt; steht für die gesamten  äußeren Genitalien der Frau - die großen und die kleinen  Schamlippen, die Klitoris und den Scheidenvorhof.</v>
      </c>
      <c r="I182" s="1" t="s">
        <v>1449</v>
      </c>
      <c r="J182" s="2" t="b">
        <v>1</v>
      </c>
      <c r="L182" t="str">
        <f>_xlfn.TEXTJOIN("_",TRUE,Table_textAnnotations[[#This Row],[Buch_Key]],Table_textAnnotations[[#This Row],[Anno_Key]],IF(ISBLANK(Table_textAnnotations[[#This Row],[Anno_Page_manuell]]),Table_textAnnotations[[#This Row],[Anno_Page_Auto]],Table_textAnnotations[[#This Row],[Anno_Page_manuell]]))&amp; ".txt"</f>
        <v>VF2PAZFF_WIHKD47H_179.txt</v>
      </c>
    </row>
    <row r="183" spans="1:12" ht="60" x14ac:dyDescent="0.25">
      <c r="A183" t="s">
        <v>551</v>
      </c>
      <c r="B183" t="s">
        <v>552</v>
      </c>
      <c r="C183">
        <v>1996</v>
      </c>
      <c r="D183" t="s">
        <v>588</v>
      </c>
      <c r="E183" t="s">
        <v>586</v>
      </c>
      <c r="F183">
        <v>179</v>
      </c>
      <c r="G183" t="s">
        <v>589</v>
      </c>
      <c r="H183" s="1" t="str">
        <f>_xlfn.TEXTJOIN(CHAR(10),FALSE, _xlfn.TEXTSPLIT(Table_textAnnotations[[#This Row],[Anno_Text]], "ABSATZ"))</f>
        <v>Am vorderen Ende der Schamlippen befindet sich die Klitoris. Da sie so winzig ist und Männer keine haben, können  sie sich nicht vorstellen, wie schön es für die Frau ist, dort  berührt zu werden. Als Faustregel sollten sich die Männer  merken: Sie sollten sich mit der Klitoris der Partnerin befassen, bevor sie in sie eindringen.  Männer sollten sich der Klitoris der Partnerin  zuwenden, bevor sie in sie eindringen.</v>
      </c>
      <c r="I183" s="1" t="s">
        <v>589</v>
      </c>
      <c r="J183" s="2" t="b">
        <v>1</v>
      </c>
      <c r="L183" t="str">
        <f>_xlfn.TEXTJOIN("_",TRUE,Table_textAnnotations[[#This Row],[Buch_Key]],Table_textAnnotations[[#This Row],[Anno_Key]],IF(ISBLANK(Table_textAnnotations[[#This Row],[Anno_Page_manuell]]),Table_textAnnotations[[#This Row],[Anno_Page_Auto]],Table_textAnnotations[[#This Row],[Anno_Page_manuell]]))&amp; ".txt"</f>
        <v>VF2PAZFF_SEJZ9INY_179.txt</v>
      </c>
    </row>
    <row r="184" spans="1:12" ht="120" x14ac:dyDescent="0.25">
      <c r="A184" t="s">
        <v>551</v>
      </c>
      <c r="B184" t="s">
        <v>552</v>
      </c>
      <c r="C184">
        <v>1996</v>
      </c>
      <c r="D184" t="s">
        <v>590</v>
      </c>
      <c r="E184" t="s">
        <v>134</v>
      </c>
      <c r="F184">
        <v>180</v>
      </c>
      <c r="G184" t="s">
        <v>591</v>
      </c>
      <c r="H184" s="1" t="str">
        <f>_xlfn.TEXTJOIN(CHAR(10),FALSE, _xlfn.TEXTSPLIT(Table_textAnnotations[[#This Row],[Anno_Text]], "ABSATZ"))</f>
        <v>Berühren der Klitoris  Die Klitoris ist teilweise von einem kleinen Hautlappen, einer  Art Haube, überdeckt. Ist die Frau erregt, versteift sich die  Klitoris, schwillt an. Je mehr sie anschwillt, desto mehr sehnt  sich die Frau danach, berührt zu werden. Ihr geht es wie dem  Mann mit seinem Penis in der gleichen Situation.  Wenn sie hochgradig erregt ist, kann er ihre Erregung noch  steigern, indem er mehrere Finger fest auf die Stelle oberhalb  der Klitoris preßt, die Kapuze wegzieht und die Klitoris auf  diese Weise freilegt. Dabei muß er jedoch sehr behutsam vorgehen. Drückt er zu fest oder vorschnell zu, hat sie unter Umständen keinen Orgasmus, auch wenn ihr vorher durchaus danach war. Durch allzu festen Druck wird alles taub.  Er sollte sich vornehmen, sie in dieser Körperregion federleicht zu berühren. Möchte sie, daß er fest zufaßt, kann sie  ihm das klarmachen, indem sie sich ihm entgegenhebt oder  nach seiner Hand greift und sie fester auf ihre Klitoris drückt.</v>
      </c>
      <c r="I184" s="1" t="s">
        <v>591</v>
      </c>
      <c r="J184" s="2" t="b">
        <v>1</v>
      </c>
      <c r="L184" t="str">
        <f>_xlfn.TEXTJOIN("_",TRUE,Table_textAnnotations[[#This Row],[Buch_Key]],Table_textAnnotations[[#This Row],[Anno_Key]],IF(ISBLANK(Table_textAnnotations[[#This Row],[Anno_Page_manuell]]),Table_textAnnotations[[#This Row],[Anno_Page_Auto]],Table_textAnnotations[[#This Row],[Anno_Page_manuell]]))&amp; ".txt"</f>
        <v>VF2PAZFF_ZINX9JCC_180.txt</v>
      </c>
    </row>
    <row r="185" spans="1:12" ht="60" x14ac:dyDescent="0.25">
      <c r="A185" t="s">
        <v>551</v>
      </c>
      <c r="B185" t="s">
        <v>552</v>
      </c>
      <c r="C185">
        <v>1996</v>
      </c>
      <c r="D185" t="s">
        <v>592</v>
      </c>
      <c r="E185" t="s">
        <v>140</v>
      </c>
      <c r="F185">
        <v>181</v>
      </c>
      <c r="G185" t="s">
        <v>593</v>
      </c>
      <c r="H185" s="1" t="str">
        <f>_xlfn.TEXTJOIN(CHAR(10),FALSE, _xlfn.TEXTSPLIT(Table_textAnnotations[[#This Row],[Anno_Text]], "ABSATZ"))</f>
        <v>Stecken Sie einen Finger  in die feuchte Vagina und streichen Sie mit dem nassen Finger  über die Schamlippen bis zur Klitoris hinauf. Umkreisen Sie  die Klitoris behutsam, sorgen Sie aber unbedingt dafür, daß  sie immer angefeuchtet ist. Sonst verursacht die Reibung nämlich Schmerzen. Bewegen Sie die Hand ganz sachte rhythmisch auf und ab, dann von einer Seite auf die andere und  dann wieder auf und ab.</v>
      </c>
      <c r="I185" s="1" t="s">
        <v>593</v>
      </c>
      <c r="J185" s="2" t="b">
        <v>0</v>
      </c>
      <c r="L185" t="str">
        <f>_xlfn.TEXTJOIN("_",TRUE,Table_textAnnotations[[#This Row],[Buch_Key]],Table_textAnnotations[[#This Row],[Anno_Key]],IF(ISBLANK(Table_textAnnotations[[#This Row],[Anno_Page_manuell]]),Table_textAnnotations[[#This Row],[Anno_Page_Auto]],Table_textAnnotations[[#This Row],[Anno_Page_manuell]]))&amp; ".txt"</f>
        <v>VF2PAZFF_U9E9WRRN_181.txt</v>
      </c>
    </row>
    <row r="186" spans="1:12" ht="105" x14ac:dyDescent="0.25">
      <c r="A186" t="s">
        <v>551</v>
      </c>
      <c r="B186" t="s">
        <v>552</v>
      </c>
      <c r="C186">
        <v>1996</v>
      </c>
      <c r="D186" t="s">
        <v>594</v>
      </c>
      <c r="E186" t="s">
        <v>595</v>
      </c>
      <c r="F186">
        <v>182</v>
      </c>
      <c r="G186" t="s">
        <v>596</v>
      </c>
      <c r="H186" s="1" t="str">
        <f>_xlfn.TEXTJOIN(CHAR(10),FALSE, _xlfn.TEXTSPLIT(Table_textAnnotations[[#This Row],[Anno_Text]], "ABSATZ"))</f>
        <v>Nachdem Sie Ihre Partnerin eingehend gestreichelt haben,  können Sie die Klitoris umkreisen. Erst nach links und dann  nach rechts. In großen Kreisen, und dann zur Abwechslung  in kleineren. Schließlich auch noch in Spiralen. Ziehen Sie  einen großen Kreis um die gesamte Vulva herum, umkreisen  Sie sie immer wieder. Ziehen Sie den Kreis allmählich enger,  bis Sie nur noch die Klitoris umkreisen. Wenn Sie eine Weile  sehr enge und präzise Kreise um die Spitze, den Kopf der  Klitoris ziehen, können Sie die Kreise allmählich immer gröBer werden lassen.  Ziehen Sie das die Klitoris umhüllende Bindegewebsblatt  zurück. Anstatt die Klitoris unmittelbar zu berühren, können  Sie in beiden Richtungen über die Nerven streichen, die von  oben zur Klitoris hinunterführen. Unvorhergesehene Bewegungsabläufe, ein schnelles und dann auch wieder langsameres Streicheln, können für die Frau unsäglich erregend sein.</v>
      </c>
      <c r="I186" s="1" t="s">
        <v>596</v>
      </c>
      <c r="J186" s="2" t="b">
        <v>0</v>
      </c>
      <c r="L186" t="str">
        <f>_xlfn.TEXTJOIN("_",TRUE,Table_textAnnotations[[#This Row],[Buch_Key]],Table_textAnnotations[[#This Row],[Anno_Key]],IF(ISBLANK(Table_textAnnotations[[#This Row],[Anno_Page_manuell]]),Table_textAnnotations[[#This Row],[Anno_Page_Auto]],Table_textAnnotations[[#This Row],[Anno_Page_manuell]]))&amp; ".txt"</f>
        <v>VF2PAZFF_XU5QEUT4_182.txt</v>
      </c>
    </row>
    <row r="187" spans="1:12" ht="60" x14ac:dyDescent="0.25">
      <c r="A187" t="s">
        <v>551</v>
      </c>
      <c r="B187" t="s">
        <v>552</v>
      </c>
      <c r="C187">
        <v>1996</v>
      </c>
      <c r="D187" t="s">
        <v>597</v>
      </c>
      <c r="E187" t="s">
        <v>598</v>
      </c>
      <c r="F187">
        <v>183</v>
      </c>
      <c r="G187" t="s">
        <v>599</v>
      </c>
      <c r="H187" s="1" t="str">
        <f>_xlfn.TEXTJOIN(CHAR(10),FALSE, _xlfn.TEXTSPLIT(Table_textAnnotations[[#This Row],[Anno_Text]], "ABSATZ"))</f>
        <v>Wenn Sie die Klitoris berühren, können Sie so tun, als schrieben Sie das Alphabet darauf. Dann merken Sie, ob Ihre Partnerin bei bestimmten Buchstaben besonders heftig reagiert.  Machen Sie mit der Zunge weiter, wenn Ihre Hand erlahmt.  Darauf ist Ihre Partnerin wahrscheinlich ganz versessen, weil  das andere Empfindungen auslöst. Ihre Partnerin empfindet  es mit Sicherheit als sehr erregend, wenn Sie die Zunge über  ihre Klitoris gleiten lassen, vor allem wenn sie ohnehin schon  in Ekstase ist.</v>
      </c>
      <c r="I187" s="1" t="s">
        <v>599</v>
      </c>
      <c r="J187" s="2" t="b">
        <v>0</v>
      </c>
      <c r="L187" t="str">
        <f>_xlfn.TEXTJOIN("_",TRUE,Table_textAnnotations[[#This Row],[Buch_Key]],Table_textAnnotations[[#This Row],[Anno_Key]],IF(ISBLANK(Table_textAnnotations[[#This Row],[Anno_Page_manuell]]),Table_textAnnotations[[#This Row],[Anno_Page_Auto]],Table_textAnnotations[[#This Row],[Anno_Page_manuell]]))&amp; ".txt"</f>
        <v>VF2PAZFF_AERAAFKE_183.txt</v>
      </c>
    </row>
    <row r="188" spans="1:12" ht="75" x14ac:dyDescent="0.25">
      <c r="A188" t="s">
        <v>551</v>
      </c>
      <c r="B188" t="s">
        <v>552</v>
      </c>
      <c r="C188">
        <v>1996</v>
      </c>
      <c r="D188" t="s">
        <v>600</v>
      </c>
      <c r="E188" t="s">
        <v>598</v>
      </c>
      <c r="F188">
        <v>183</v>
      </c>
      <c r="G188" t="s">
        <v>601</v>
      </c>
      <c r="H188" s="1" t="str">
        <f>_xlfn.TEXTJOIN(CHAR(10),FALSE, _xlfn.TEXTSPLIT(Table_textAnnotations[[#This Row],[Anno_Text]], "ABSATZ"))</f>
        <v>Ich erinnere mich noch genau an den ersten Oralverkehr mit  einer Frau. Nach neun Jahren als Mönch wollte ich endlich  mit einer Frau schlafen, aber bevor es richtig dazu kam, sagte  die Betreffende: »Ach, leck doch bitte erst meine Klitoris, bevor du in mich eindringst. Das tut unheimlich gut.&lt;&lt;  Damit versetzte sie mir einen fürchterlichen Schock. Die  Worte &gt;&gt;Leck meine Klitoris«&lt; gingen mir nicht mehr aus dem  Kopf. Bis dahin hatte ich nämlich nicht einmal gewußt, daß  es so etwas wie Oralverkehr mit Frauen gab. Auf die Idee  wäre ich von selbst gar nicht gekommen.</v>
      </c>
      <c r="I188" s="1" t="s">
        <v>601</v>
      </c>
      <c r="J188" s="2" t="b">
        <v>0</v>
      </c>
      <c r="L188" t="str">
        <f>_xlfn.TEXTJOIN("_",TRUE,Table_textAnnotations[[#This Row],[Buch_Key]],Table_textAnnotations[[#This Row],[Anno_Key]],IF(ISBLANK(Table_textAnnotations[[#This Row],[Anno_Page_manuell]]),Table_textAnnotations[[#This Row],[Anno_Page_Auto]],Table_textAnnotations[[#This Row],[Anno_Page_manuell]]))&amp; ".txt"</f>
        <v>VF2PAZFF_HAQNLQVN_183.txt</v>
      </c>
    </row>
    <row r="189" spans="1:12" ht="90" x14ac:dyDescent="0.25">
      <c r="A189" t="s">
        <v>551</v>
      </c>
      <c r="B189" t="s">
        <v>552</v>
      </c>
      <c r="C189">
        <v>1996</v>
      </c>
      <c r="D189" t="s">
        <v>602</v>
      </c>
      <c r="E189" t="s">
        <v>603</v>
      </c>
      <c r="F189">
        <v>184</v>
      </c>
      <c r="G189" t="s">
        <v>604</v>
      </c>
      <c r="H189" s="1" t="str">
        <f>_xlfn.TEXTJOIN(CHAR(10),FALSE, _xlfn.TEXTSPLIT(Table_textAnnotations[[#This Row],[Anno_Text]], "ABSATZ"))</f>
        <v>Fährt er ihr mit der Zunge über die Genitalien, kann er sie  genauso lecken, wie er sie auch berührt hätte. Die Genitalien  werden durch die Zunge angefeuchtet, die Zunge gleitet besser als die Hand, und deshalb ist es für die Frau ein noch viel  schöneres Gefühl, geleckt zu werden. Noch überwältigender  ist es, wenn er die Klitoris behutsam einsaugt und blitzschnell  mit der Zunge darüberfährt oder sie einfach zwischen die Lippen nimmt und mit der Zunge sanft massiert.  Während er die Klitoris der Frau leckt oder an ihr saugt,  kann er vorsichtig einen oder zwei Finger in ihre Vagina ein184 führen und den oder die Finger ganz langsam immer wieder  hineinschieben und herausziehen. Das macht den Liebesakt  für sie noch schöner.</v>
      </c>
      <c r="I189" s="1" t="s">
        <v>604</v>
      </c>
      <c r="J189" s="2" t="b">
        <v>0</v>
      </c>
      <c r="L189" t="str">
        <f>_xlfn.TEXTJOIN("_",TRUE,Table_textAnnotations[[#This Row],[Buch_Key]],Table_textAnnotations[[#This Row],[Anno_Key]],IF(ISBLANK(Table_textAnnotations[[#This Row],[Anno_Page_manuell]]),Table_textAnnotations[[#This Row],[Anno_Page_Auto]],Table_textAnnotations[[#This Row],[Anno_Page_manuell]]))&amp; ".txt"</f>
        <v>VF2PAZFF_WNULPI3E_184.txt</v>
      </c>
    </row>
    <row r="190" spans="1:12" ht="75" x14ac:dyDescent="0.25">
      <c r="A190" t="s">
        <v>551</v>
      </c>
      <c r="B190" t="s">
        <v>552</v>
      </c>
      <c r="C190">
        <v>1996</v>
      </c>
      <c r="D190" t="s">
        <v>605</v>
      </c>
      <c r="E190" t="s">
        <v>606</v>
      </c>
      <c r="F190">
        <v>185</v>
      </c>
      <c r="G190" t="s">
        <v>607</v>
      </c>
      <c r="H190" s="1" t="str">
        <f>_xlfn.TEXTJOIN(CHAR(10),FALSE, _xlfn.TEXTSPLIT(Table_textAnnotations[[#This Row],[Anno_Text]], "ABSATZ"))</f>
        <v>Auf diese Weise kann er auch noch einen  Punkt stimulieren, den die Sexualforscher G-Punkt nennen.  Er liegt ein Stückchen vom Scheideneingang entfernt an der  vorderen Scheidenwand. Reiben und Massieren dieses GPunkts steigert die Erregung.  Wenn diese Beschreibungen zu sehr in Technik ausarten,  besteht die Gefahr, daß auch der Sex zu einer allzu technischen  Angelegenheit wird. Macht sich der Mann auf die Suche nach  dem G-Punkt, fühlt sich die Frau bald unter Druck gesetzt.  Deshalb mag es genügen, wenn er die Klitoris nicht vergiẞt.</v>
      </c>
      <c r="I190" s="1" t="s">
        <v>607</v>
      </c>
      <c r="J190" s="2" t="b">
        <v>0</v>
      </c>
      <c r="L190" t="str">
        <f>_xlfn.TEXTJOIN("_",TRUE,Table_textAnnotations[[#This Row],[Buch_Key]],Table_textAnnotations[[#This Row],[Anno_Key]],IF(ISBLANK(Table_textAnnotations[[#This Row],[Anno_Page_manuell]]),Table_textAnnotations[[#This Row],[Anno_Page_Auto]],Table_textAnnotations[[#This Row],[Anno_Page_manuell]]))&amp; ".txt"</f>
        <v>VF2PAZFF_JVMWQD6Q_185.txt</v>
      </c>
    </row>
    <row r="191" spans="1:12" ht="60" x14ac:dyDescent="0.25">
      <c r="A191" t="s">
        <v>551</v>
      </c>
      <c r="B191" t="s">
        <v>552</v>
      </c>
      <c r="C191">
        <v>1996</v>
      </c>
      <c r="D191" t="s">
        <v>608</v>
      </c>
      <c r="E191" t="s">
        <v>263</v>
      </c>
      <c r="F191">
        <v>188</v>
      </c>
      <c r="G191" t="s">
        <v>609</v>
      </c>
      <c r="H191" s="1" t="str">
        <f>_xlfn.TEXTJOIN(CHAR(10),FALSE, _xlfn.TEXTSPLIT(Table_textAnnotations[[#This Row],[Anno_Text]], "ABSATZ"))</f>
        <v>Wünscht sie die Intensität zu steigern, kann sie fester  drücken, während sie die Hand auf- und abbewegt. Sie kann  den Penis auch mit Speichel anfeuchten, damit die Hand besser gleitet. Das steigert die Intensität der Lust. Die Frau sollte  darauf achten, daß der Penis mit Speichel gut »geölt&lt;&lt; ist, denn  sonst macht sich ein brennender Schmerz bemerkbar, weil  durch Reibung Hitze entsteht. Auch die Klitoris muß feucht  sein, wenn sie stimuliert wird.</v>
      </c>
      <c r="I191" s="1" t="s">
        <v>609</v>
      </c>
      <c r="J191" s="2" t="b">
        <v>0</v>
      </c>
      <c r="L191" t="str">
        <f>_xlfn.TEXTJOIN("_",TRUE,Table_textAnnotations[[#This Row],[Buch_Key]],Table_textAnnotations[[#This Row],[Anno_Key]],IF(ISBLANK(Table_textAnnotations[[#This Row],[Anno_Page_manuell]]),Table_textAnnotations[[#This Row],[Anno_Page_Auto]],Table_textAnnotations[[#This Row],[Anno_Page_manuell]]))&amp; ".txt"</f>
        <v>VF2PAZFF_M9NKSNCP_188.txt</v>
      </c>
    </row>
    <row r="192" spans="1:12" ht="45" x14ac:dyDescent="0.25">
      <c r="A192" t="s">
        <v>551</v>
      </c>
      <c r="B192" t="s">
        <v>552</v>
      </c>
      <c r="C192">
        <v>1996</v>
      </c>
      <c r="D192" t="s">
        <v>610</v>
      </c>
      <c r="E192" t="s">
        <v>611</v>
      </c>
      <c r="F192">
        <v>189</v>
      </c>
      <c r="G192" t="s">
        <v>612</v>
      </c>
      <c r="H192" s="1" t="str">
        <f>_xlfn.TEXTJOIN(CHAR(10),FALSE, _xlfn.TEXTSPLIT(Table_textAnnotations[[#This Row],[Anno_Text]], "ABSATZ"))</f>
        <v>Sie löst auch starke Lustgefühle in ihm aus, wenn sie den  Rand der Eichel stimuliert, und zwar mit zarten schnellen Bewegungen. So federleicht, wie sie ihre Klitoris behandelt wis189 sen möchte. Vielleicht erscheint es ihr danach angebracht, den  Druck auf seinen Penis zu verstärken.</v>
      </c>
      <c r="I192" s="1" t="s">
        <v>612</v>
      </c>
      <c r="J192" s="2" t="b">
        <v>0</v>
      </c>
      <c r="L192" t="str">
        <f>_xlfn.TEXTJOIN("_",TRUE,Table_textAnnotations[[#This Row],[Buch_Key]],Table_textAnnotations[[#This Row],[Anno_Key]],IF(ISBLANK(Table_textAnnotations[[#This Row],[Anno_Page_manuell]]),Table_textAnnotations[[#This Row],[Anno_Page_Auto]],Table_textAnnotations[[#This Row],[Anno_Page_manuell]]))&amp; ".txt"</f>
        <v>VF2PAZFF_4JZHZAYU_189.txt</v>
      </c>
    </row>
    <row r="193" spans="1:12" ht="30" x14ac:dyDescent="0.25">
      <c r="A193" t="s">
        <v>613</v>
      </c>
      <c r="B193" t="s">
        <v>614</v>
      </c>
      <c r="C193">
        <v>1996</v>
      </c>
      <c r="D193" t="s">
        <v>615</v>
      </c>
      <c r="E193" t="s">
        <v>51</v>
      </c>
      <c r="G193" t="s">
        <v>616</v>
      </c>
      <c r="H193" s="1" t="str">
        <f>_xlfn.TEXTJOIN(CHAR(10),FALSE, _xlfn.TEXTSPLIT(Table_textAnnotations[[#This Row],[Anno_Text]], "ABSATZ"))</f>
        <v>Es hat auch nichts zu tun mit dem Gegensatz zwischen &gt;&gt;klitoralem« und »vaginalem« Orgasmus (das ist nur eine  grobanatomische Art des Versuchs, einen natürlichen Unterschied  in Worten auszudrücken), denn der Mann empfindet denselben Gegensatz.</v>
      </c>
      <c r="I193" s="1" t="s">
        <v>616</v>
      </c>
      <c r="J193" s="2" t="b">
        <v>0</v>
      </c>
      <c r="L193" t="str">
        <f>_xlfn.TEXTJOIN("_",TRUE,Table_textAnnotations[[#This Row],[Buch_Key]],Table_textAnnotations[[#This Row],[Anno_Key]],IF(ISBLANK(Table_textAnnotations[[#This Row],[Anno_Page_manuell]]),Table_textAnnotations[[#This Row],[Anno_Page_Auto]],Table_textAnnotations[[#This Row],[Anno_Page_manuell]]))&amp; ".txt"</f>
        <v>2C76HS5A_2D3SP54M_20.txt</v>
      </c>
    </row>
    <row r="194" spans="1:12" ht="75" x14ac:dyDescent="0.25">
      <c r="A194" t="s">
        <v>613</v>
      </c>
      <c r="B194" t="s">
        <v>614</v>
      </c>
      <c r="C194">
        <v>1996</v>
      </c>
      <c r="D194" t="s">
        <v>617</v>
      </c>
      <c r="E194" t="s">
        <v>51</v>
      </c>
      <c r="G194" t="s">
        <v>618</v>
      </c>
      <c r="H194" s="1" t="str">
        <f>_xlfn.TEXTJOIN(CHAR(10),FALSE, _xlfn.TEXTSPLIT(Table_textAnnotations[[#This Row],[Anno_Text]], "ABSATZ"))</f>
        <v>Wenn man von &gt;&gt;klitoralem Orgasmus&lt;&lt; spricht, so meint man gewöhnlich einen Koitus,  der gemeinsam erfolgen soll, dabei jedoch (bei der Frau) den Eindruck eines Solos hervorruft. Die Solopraktik kann sogar auf die  ruhigsten Menschen äußerst elektrisierend wirken. Wenn sie geschickt gehandhabt wird, vonjemandem, der sich selbst durch lautes Schreien nicht abhalten läßt, aber weiß, wann er aufhören muß,  kann eine Frau einen Orgasmus nach dem anderen haben, und ein  Mann kann bis zur Grenze menschlicher Ausdauer knapp am Rande des Höhepunktes gehalten werden.</v>
      </c>
      <c r="I194" s="1" t="s">
        <v>618</v>
      </c>
      <c r="J194" s="2" t="b">
        <v>0</v>
      </c>
      <c r="L194" t="str">
        <f>_xlfn.TEXTJOIN("_",TRUE,Table_textAnnotations[[#This Row],[Buch_Key]],Table_textAnnotations[[#This Row],[Anno_Key]],IF(ISBLANK(Table_textAnnotations[[#This Row],[Anno_Page_manuell]]),Table_textAnnotations[[#This Row],[Anno_Page_Auto]],Table_textAnnotations[[#This Row],[Anno_Page_manuell]]))&amp; ".txt"</f>
        <v>2C76HS5A_XV3GGEVQ_20.txt</v>
      </c>
    </row>
    <row r="195" spans="1:12" ht="30" x14ac:dyDescent="0.25">
      <c r="A195" t="s">
        <v>613</v>
      </c>
      <c r="B195" t="s">
        <v>614</v>
      </c>
      <c r="C195">
        <v>1996</v>
      </c>
      <c r="D195" t="s">
        <v>619</v>
      </c>
      <c r="E195" t="s">
        <v>356</v>
      </c>
      <c r="G195" t="s">
        <v>620</v>
      </c>
      <c r="H195" s="1" t="str">
        <f>_xlfn.TEXTJOIN(CHAR(10),FALSE, _xlfn.TEXTSPLIT(Table_textAnnotations[[#This Row],[Anno_Text]], "ABSATZ"))</f>
        <v>Natürlich haben Frauen wie Männer unmittelbare physische Reaktionen, doch sind diese anders geartet (als erstes Brüste und  Haut, bitte, kein direkter Griff nach der Klitoris), und man darf sie  nicht kurzschließen.</v>
      </c>
      <c r="I195" s="1" t="s">
        <v>620</v>
      </c>
      <c r="J195" s="2" t="b">
        <v>0</v>
      </c>
      <c r="L195" t="str">
        <f>_xlfn.TEXTJOIN("_",TRUE,Table_textAnnotations[[#This Row],[Buch_Key]],Table_textAnnotations[[#This Row],[Anno_Key]],IF(ISBLANK(Table_textAnnotations[[#This Row],[Anno_Page_manuell]]),Table_textAnnotations[[#This Row],[Anno_Page_Auto]],Table_textAnnotations[[#This Row],[Anno_Page_manuell]]))&amp; ".txt"</f>
        <v>2C76HS5A_VLDJKQ4U_25.txt</v>
      </c>
    </row>
    <row r="196" spans="1:12" ht="45" x14ac:dyDescent="0.25">
      <c r="A196" t="s">
        <v>613</v>
      </c>
      <c r="B196" t="s">
        <v>614</v>
      </c>
      <c r="C196">
        <v>1996</v>
      </c>
      <c r="D196" t="s">
        <v>621</v>
      </c>
      <c r="E196" t="s">
        <v>622</v>
      </c>
      <c r="G196" t="s">
        <v>623</v>
      </c>
      <c r="H196" s="1" t="str">
        <f>_xlfn.TEXTJOIN(CHAR(10),FALSE, _xlfn.TEXTSPLIT(Table_textAnnotations[[#This Row],[Anno_Text]], "ABSATZ"))</f>
        <v>Einige unwissende Wilde schneiden noch die Klitoris ab. Angeblich bestehen die Frauen selbst am meisten darauf, ihre Töchter so zu verstümmeln. Die unseren gehen nicht so weit, schneiden  aber noch immer ihr Achselhaar weg oder taten es, bis eine neue  Generation sich allmählich darüber klarwurde, daß es sexy ist.</v>
      </c>
      <c r="I196" s="1" t="s">
        <v>623</v>
      </c>
      <c r="J196" s="2" t="b">
        <v>0</v>
      </c>
      <c r="L196" t="str">
        <f>_xlfn.TEXTJOIN("_",TRUE,Table_textAnnotations[[#This Row],[Buch_Key]],Table_textAnnotations[[#This Row],[Anno_Key]],IF(ISBLANK(Table_textAnnotations[[#This Row],[Anno_Page_manuell]]),Table_textAnnotations[[#This Row],[Anno_Page_Auto]],Table_textAnnotations[[#This Row],[Anno_Page_manuell]]))&amp; ".txt"</f>
        <v>2C76HS5A_BKS93ZGL_36.txt</v>
      </c>
    </row>
    <row r="197" spans="1:12" ht="45" x14ac:dyDescent="0.25">
      <c r="A197" t="s">
        <v>613</v>
      </c>
      <c r="B197" t="s">
        <v>614</v>
      </c>
      <c r="C197">
        <v>1996</v>
      </c>
      <c r="D197" t="s">
        <v>624</v>
      </c>
      <c r="E197" t="s">
        <v>625</v>
      </c>
      <c r="G197" t="s">
        <v>626</v>
      </c>
      <c r="H197" s="1" t="str">
        <f>_xlfn.TEXTJOIN(CHAR(10),FALSE, _xlfn.TEXTSPLIT(Table_textAnnotations[[#This Row],[Anno_Text]], "ABSATZ"))</f>
        <v>[Die Vulva ist] Empfindlich in all ihren l'eiten - der phallusbewußte Mann neigt dazu, sich zwecks Beruhigung auf die Klitoris zu stürzen. Liebhaber sollten frühzeitig lernen, einander beim Masturbieren zuzusehen - nur wenige Frauen empfinden anfänglich Vergnügen bei übertriebener Klitorisreizung.</v>
      </c>
      <c r="I197" s="1" t="s">
        <v>626</v>
      </c>
      <c r="J197" s="2" t="b">
        <v>0</v>
      </c>
      <c r="L197" t="str">
        <f>_xlfn.TEXTJOIN("_",TRUE,Table_textAnnotations[[#This Row],[Buch_Key]],Table_textAnnotations[[#This Row],[Anno_Key]],IF(ISBLANK(Table_textAnnotations[[#This Row],[Anno_Page_manuell]]),Table_textAnnotations[[#This Row],[Anno_Page_Auto]],Table_textAnnotations[[#This Row],[Anno_Page_manuell]]))&amp; ".txt"</f>
        <v>2C76HS5A_2SAE4BPA_38.txt</v>
      </c>
    </row>
    <row r="198" spans="1:12" ht="45" x14ac:dyDescent="0.25">
      <c r="A198" t="s">
        <v>613</v>
      </c>
      <c r="B198" t="s">
        <v>614</v>
      </c>
      <c r="C198">
        <v>1996</v>
      </c>
      <c r="D198" t="s">
        <v>627</v>
      </c>
      <c r="E198" t="s">
        <v>628</v>
      </c>
      <c r="G198" t="s">
        <v>629</v>
      </c>
      <c r="H198" s="1" t="str">
        <f>_xlfn.TEXTJOIN(CHAR(10),FALSE, _xlfn.TEXTSPLIT(Table_textAnnotations[[#This Row],[Anno_Text]], "ABSATZ"))</f>
        <v>Viele Männer sind sich, wenn sie allzusehr auf direkte Klitorisstimulation eingestellt sind, nicht bewußt,  daß die meisten Frauen zum Orgasmus gebracht werden können,  wenn man einfach den Venushügel in der hohlen Hand hält und  ihn knetet oder schüttelt, bevor oder während man einen Finger in  die Vulva steckt oder auch ohne das zu tun (siehe unter &gt;&gt;Schamhaar&lt;&lt;).</v>
      </c>
      <c r="I198" s="1" t="s">
        <v>629</v>
      </c>
      <c r="J198" s="2" t="b">
        <v>0</v>
      </c>
      <c r="L198" t="str">
        <f>_xlfn.TEXTJOIN("_",TRUE,Table_textAnnotations[[#This Row],[Buch_Key]],Table_textAnnotations[[#This Row],[Anno_Key]],IF(ISBLANK(Table_textAnnotations[[#This Row],[Anno_Page_manuell]]),Table_textAnnotations[[#This Row],[Anno_Page_Auto]],Table_textAnnotations[[#This Row],[Anno_Page_manuell]]))&amp; ".txt"</f>
        <v>2C76HS5A_II68D8IC_39.txt</v>
      </c>
    </row>
    <row r="199" spans="1:12" ht="90" x14ac:dyDescent="0.25">
      <c r="A199" t="s">
        <v>613</v>
      </c>
      <c r="B199" t="s">
        <v>614</v>
      </c>
      <c r="C199">
        <v>1996</v>
      </c>
      <c r="D199" t="s">
        <v>630</v>
      </c>
      <c r="E199" t="s">
        <v>631</v>
      </c>
      <c r="G199" t="s">
        <v>632</v>
      </c>
      <c r="H199" s="1" t="str">
        <f>_xlfn.TEXTJOIN(CHAR(10),FALSE, _xlfn.TEXTSPLIT(Table_textAnnotations[[#This Row],[Anno_Text]], "ABSATZ"))</f>
        <v>[Kontext: Oberschenkelkoitus]
Wird von vorn oder hinten bzw. in jeder anderen Stellung verwendt, in der sie ihre Schenkel zusammenpressen kann. Der Penis kommt dazwischen, mit dem Schaft zwischen ihren Schamlippen, die Eichel jedoch außerhalb der Vagina, und sie drückt kräftig. Verleiht der Frau ganz besondere Empfindungen – mitunter stärker als beim Eindringen, daher lohnt sich der Versuch. Hinsichtlich der Technik braucht man nicht so streng zu sein wie unsere Ahnen, die sich bemühen mußten, das Sperma um jeden Preis aus der Vulva herauszuhalten. Mit entsprechender Vorsicht kann man das von hinten tun, wobei die Eichel tatsächlich die Klitoris streift, was eine großartige Wirkung ergibt.</v>
      </c>
      <c r="I199" s="1" t="s">
        <v>1333</v>
      </c>
      <c r="J199" s="2" t="b">
        <v>0</v>
      </c>
      <c r="L199" t="str">
        <f>_xlfn.TEXTJOIN("_",TRUE,Table_textAnnotations[[#This Row],[Buch_Key]],Table_textAnnotations[[#This Row],[Anno_Key]],IF(ISBLANK(Table_textAnnotations[[#This Row],[Anno_Page_manuell]]),Table_textAnnotations[[#This Row],[Anno_Page_Auto]],Table_textAnnotations[[#This Row],[Anno_Page_manuell]]))&amp; ".txt"</f>
        <v>2C76HS5A_D7RZVAUM_44.txt</v>
      </c>
    </row>
    <row r="200" spans="1:12" ht="45" x14ac:dyDescent="0.25">
      <c r="A200" t="s">
        <v>613</v>
      </c>
      <c r="B200" t="s">
        <v>614</v>
      </c>
      <c r="C200">
        <v>1996</v>
      </c>
      <c r="D200" t="s">
        <v>633</v>
      </c>
      <c r="E200" t="s">
        <v>409</v>
      </c>
      <c r="G200" t="s">
        <v>634</v>
      </c>
      <c r="H200" s="1" t="str">
        <f>_xlfn.TEXTJOIN(CHAR(10),FALSE, _xlfn.TEXTSPLIT(Table_textAnnotations[[#This Row],[Anno_Text]], "ABSATZ"))</f>
        <v>Beim Gegenstück [zur Fellatio] kniet sie rittlings über ihm und bietet sich ihm genau wie bei einem leidenschaftlichen Mund-zu-Mund-Kuẞ an, zuerst rasch und oberflächlich, dann offen und tief, während er lange Zungenstriche von der Vagina zu Klitoris ausführt und jedesmal, wenn er zu ihrer Eichel kommt, daran zieht.</v>
      </c>
      <c r="I200" s="1" t="s">
        <v>634</v>
      </c>
      <c r="J200" s="2" t="b">
        <v>0</v>
      </c>
      <c r="L200" t="str">
        <f>_xlfn.TEXTJOIN("_",TRUE,Table_textAnnotations[[#This Row],[Buch_Key]],Table_textAnnotations[[#This Row],[Anno_Key]],IF(ISBLANK(Table_textAnnotations[[#This Row],[Anno_Page_manuell]]),Table_textAnnotations[[#This Row],[Anno_Page_Auto]],Table_textAnnotations[[#This Row],[Anno_Page_manuell]]))&amp; ".txt"</f>
        <v>2C76HS5A_P7B3PQ82_56.txt</v>
      </c>
    </row>
    <row r="201" spans="1:12" ht="30" x14ac:dyDescent="0.25">
      <c r="A201" t="s">
        <v>613</v>
      </c>
      <c r="B201" t="s">
        <v>614</v>
      </c>
      <c r="C201">
        <v>1996</v>
      </c>
      <c r="D201" t="s">
        <v>635</v>
      </c>
      <c r="E201" t="s">
        <v>412</v>
      </c>
      <c r="G201" t="s">
        <v>636</v>
      </c>
      <c r="H201" s="1" t="str">
        <f>_xlfn.TEXTJOIN(CHAR(10),FALSE, _xlfn.TEXTSPLIT(Table_textAnnotations[[#This Row],[Anno_Text]], "ABSATZ"))</f>
        <v>Der erste Genitalkuß ist für ein unerfahrenes Mädchen ein  neuer »&gt;Höhepunkt«&lt;. Wenn man vor ihr kniet, »&gt;vers le buisson  ardent des femmes«&lt; (dem weiblichen Feuerdorn zugewandt), sieht  es gut aus, aber man kann bestenfalls den Kopf daran schmiegen.</v>
      </c>
      <c r="I201" s="1" t="s">
        <v>636</v>
      </c>
      <c r="J201" s="2" t="b">
        <v>0</v>
      </c>
      <c r="L201" t="str">
        <f>_xlfn.TEXTJOIN("_",TRUE,Table_textAnnotations[[#This Row],[Buch_Key]],Table_textAnnotations[[#This Row],[Anno_Key]],IF(ISBLANK(Table_textAnnotations[[#This Row],[Anno_Page_manuell]]),Table_textAnnotations[[#This Row],[Anno_Page_Auto]],Table_textAnnotations[[#This Row],[Anno_Page_manuell]]))&amp; ".txt"</f>
        <v>2C76HS5A_UIFSAKK9_57.txt</v>
      </c>
    </row>
    <row r="202" spans="1:12" ht="90" x14ac:dyDescent="0.25">
      <c r="A202" t="s">
        <v>613</v>
      </c>
      <c r="B202" t="s">
        <v>614</v>
      </c>
      <c r="C202">
        <v>1996</v>
      </c>
      <c r="D202" t="s">
        <v>637</v>
      </c>
      <c r="E202" t="s">
        <v>638</v>
      </c>
      <c r="G202" t="s">
        <v>639</v>
      </c>
      <c r="H202" s="1" t="str">
        <f>_xlfn.TEXTJOIN(CHAR(10),FALSE, _xlfn.TEXTSPLIT(Table_textAnnotations[[#This Row],[Anno_Text]], "ABSATZ"))</f>
        <v>[Kontext: Missonarstellung]
Wenn man damit beginnt, kann man die Stellung vertiefen – indem man die Beine der Partnerin hochlegt, zur Klitoris übergeht, indem man ein Bein zwischen ihre Beine legt, sich zur Seite oder ganz herum wälzt, um mit ihr in der oberen Stellung zu enden -, auf die Knie gehen und sich zum Buchstaben X zurücklehnen, bei dem jeder Partner zwischen den Beinen des anderen liegt (siehe unter &gt;&gt;X-Stellung&lt;&lt;), zu Rücken-, Seiten- oder Steh-Stellung übergehen, und dann für das Ende wieder zurückkommen.</v>
      </c>
      <c r="I202" s="1" t="s">
        <v>1370</v>
      </c>
      <c r="J202" s="2" t="b">
        <v>0</v>
      </c>
      <c r="L202" t="str">
        <f>_xlfn.TEXTJOIN("_",TRUE,Table_textAnnotations[[#This Row],[Buch_Key]],Table_textAnnotations[[#This Row],[Anno_Key]],IF(ISBLANK(Table_textAnnotations[[#This Row],[Anno_Page_manuell]]),Table_textAnnotations[[#This Row],[Anno_Page_Auto]],Table_textAnnotations[[#This Row],[Anno_Page_manuell]]))&amp; ".txt"</f>
        <v>2C76HS5A_4VHSIPH2_59.txt</v>
      </c>
    </row>
    <row r="203" spans="1:12" ht="30" x14ac:dyDescent="0.25">
      <c r="A203" t="s">
        <v>613</v>
      </c>
      <c r="B203" t="s">
        <v>614</v>
      </c>
      <c r="C203">
        <v>1996</v>
      </c>
      <c r="D203" t="s">
        <v>640</v>
      </c>
      <c r="E203" t="s">
        <v>638</v>
      </c>
      <c r="G203" t="s">
        <v>641</v>
      </c>
      <c r="H203" s="1" t="str">
        <f>_xlfn.TEXTJOIN(CHAR(10),FALSE, _xlfn.TEXTSPLIT(Table_textAnnotations[[#This Row],[Anno_Text]], "ABSATZ"))</f>
        <v>Es gibt Frauen, bei denen die Missionarstellung nicht taugt, die muß man sitzend einander gegenüber oder von hinten, mit einem Finger an der Klitoris, befriedigen, oder sie müssen reiten.</v>
      </c>
      <c r="I203" s="1" t="s">
        <v>641</v>
      </c>
      <c r="J203" s="2" t="b">
        <v>0</v>
      </c>
      <c r="L203" t="str">
        <f>_xlfn.TEXTJOIN("_",TRUE,Table_textAnnotations[[#This Row],[Buch_Key]],Table_textAnnotations[[#This Row],[Anno_Key]],IF(ISBLANK(Table_textAnnotations[[#This Row],[Anno_Page_manuell]]),Table_textAnnotations[[#This Row],[Anno_Page_Auto]],Table_textAnnotations[[#This Row],[Anno_Page_manuell]]))&amp; ".txt"</f>
        <v>2C76HS5A_DET75SVC_59.txt</v>
      </c>
    </row>
    <row r="204" spans="1:12" ht="75" x14ac:dyDescent="0.25">
      <c r="A204" t="s">
        <v>613</v>
      </c>
      <c r="B204" t="s">
        <v>614</v>
      </c>
      <c r="C204">
        <v>1996</v>
      </c>
      <c r="D204" t="s">
        <v>642</v>
      </c>
      <c r="E204" t="s">
        <v>56</v>
      </c>
      <c r="G204" t="s">
        <v>643</v>
      </c>
      <c r="H204" s="1" t="str">
        <f>_xlfn.TEXTJOIN(CHAR(10),FALSE, _xlfn.TEXTSPLIT(Table_textAnnotations[[#This Row],[Anno_Text]], "ABSATZ"))</f>
        <v>[Kontext: Missionarstellung, der Text ist an 'den Mann' gerichtet]
Wenn Ihr Schambein nicht sehr hart ist und sie ein wenig mehr Klitorisdruck braucht, versuchen Sie eine Stellung mit einem Bein dazwischen, oder verwenden Sie zusätzlich Ihre Finger. Sie kann ihrerseits Ihre Vorhaut halten oder die Schafthaut des Penis mit der Hand zurückziehen (siehe unter &gt;&gt;Florentinisch&lt;&lt;).</v>
      </c>
      <c r="I204" s="1" t="s">
        <v>1371</v>
      </c>
      <c r="J204" s="2" t="b">
        <v>0</v>
      </c>
      <c r="L204" t="str">
        <f>_xlfn.TEXTJOIN("_",TRUE,Table_textAnnotations[[#This Row],[Buch_Key]],Table_textAnnotations[[#This Row],[Anno_Key]],IF(ISBLANK(Table_textAnnotations[[#This Row],[Anno_Page_manuell]]),Table_textAnnotations[[#This Row],[Anno_Page_Auto]],Table_textAnnotations[[#This Row],[Anno_Page_manuell]]))&amp; ".txt"</f>
        <v>2C76HS5A_DR6NKCCQ_60.txt</v>
      </c>
    </row>
    <row r="205" spans="1:12" ht="60" x14ac:dyDescent="0.25">
      <c r="A205" t="s">
        <v>613</v>
      </c>
      <c r="B205" t="s">
        <v>614</v>
      </c>
      <c r="C205">
        <v>1996</v>
      </c>
      <c r="D205" t="s">
        <v>644</v>
      </c>
      <c r="E205" t="s">
        <v>59</v>
      </c>
      <c r="G205" t="s">
        <v>645</v>
      </c>
      <c r="H205" s="1" t="str">
        <f>_xlfn.TEXTJOIN(CHAR(10),FALSE, _xlfn.TEXTSPLIT(Table_textAnnotations[[#This Row],[Anno_Text]], "ABSATZ"))</f>
        <v>[Kontext: "Reiten auf dem hl. Georg" (Reiten)]
Sie kann sich für Brust- oder Mundküsse vorneigen, zurück, um ihm ihren Anblick zu bieten, ihre eigene Klitoris bei der Bewegung streicheln, es hinauszögern, wenn sie will, um noch stärker zu empfinden - einfach alles.</v>
      </c>
      <c r="I205" s="1" t="s">
        <v>1372</v>
      </c>
      <c r="J205" s="2" t="b">
        <v>0</v>
      </c>
      <c r="L205" t="str">
        <f>_xlfn.TEXTJOIN("_",TRUE,Table_textAnnotations[[#This Row],[Buch_Key]],Table_textAnnotations[[#This Row],[Anno_Key]],IF(ISBLANK(Table_textAnnotations[[#This Row],[Anno_Page_manuell]]),Table_textAnnotations[[#This Row],[Anno_Page_Auto]],Table_textAnnotations[[#This Row],[Anno_Page_manuell]]))&amp; ".txt"</f>
        <v>2C76HS5A_3XVKV8WM_61.txt</v>
      </c>
    </row>
    <row r="206" spans="1:12" ht="45" x14ac:dyDescent="0.25">
      <c r="A206" t="s">
        <v>613</v>
      </c>
      <c r="B206" t="s">
        <v>614</v>
      </c>
      <c r="C206">
        <v>1996</v>
      </c>
      <c r="D206" t="s">
        <v>646</v>
      </c>
      <c r="E206" t="s">
        <v>417</v>
      </c>
      <c r="G206" t="s">
        <v>647</v>
      </c>
      <c r="H206" s="1" t="str">
        <f>_xlfn.TEXTJOIN(CHAR(10),FALSE, _xlfn.TEXTSPLIT(Table_textAnnotations[[#This Row],[Anno_Text]], "ABSATZ"))</f>
        <v>Die Stellungen einander gegenüber, wobei ein Partner beide  Schenkel zwischen denen des anderen hat - er rittlings über den ihren oder dazwischen. Dazu gehören die verschiedenen Formen der &gt;&gt;Missionarstellung«&lt; sowie die meisten komplizierten Stellungen mit Tiefenwirkung. Sie gibt (gewöhnlich) mehr Tiefe, aber weniger Druck auf die Klitoris als die Flanquette.</v>
      </c>
      <c r="I206" s="1" t="s">
        <v>647</v>
      </c>
      <c r="J206" s="2" t="b">
        <v>0</v>
      </c>
      <c r="L206" t="str">
        <f>_xlfn.TEXTJOIN("_",TRUE,Table_textAnnotations[[#This Row],[Buch_Key]],Table_textAnnotations[[#This Row],[Anno_Key]],IF(ISBLANK(Table_textAnnotations[[#This Row],[Anno_Page_manuell]]),Table_textAnnotations[[#This Row],[Anno_Page_Auto]],Table_textAnnotations[[#This Row],[Anno_Page_manuell]]))&amp; ".txt"</f>
        <v>2C76HS5A_L9K9X68U_62.txt</v>
      </c>
    </row>
    <row r="207" spans="1:12" ht="60" x14ac:dyDescent="0.25">
      <c r="A207" t="s">
        <v>613</v>
      </c>
      <c r="B207" t="s">
        <v>614</v>
      </c>
      <c r="C207">
        <v>1996</v>
      </c>
      <c r="D207" t="s">
        <v>648</v>
      </c>
      <c r="E207" t="s">
        <v>371</v>
      </c>
      <c r="G207" t="s">
        <v>649</v>
      </c>
      <c r="H207" s="1" t="str">
        <f>_xlfn.TEXTJOIN(CHAR(10),FALSE, _xlfn.TEXTSPLIT(Table_textAnnotations[[#This Row],[Anno_Text]], "ABSATZ"))</f>
        <v>Flanquette 
Die Gruppe der Sexualstellungen, bei denen die Partner einander halb zugekehrt sind - sie liegt mit dem Gesicht ihm zugewandt und mit einem Bein zwischen seinen, infolgedessen eines seiner Beine zwischen ihren, das frontale Gegenstück der Cuissade. Die Stellung ergibt durch den pressenden Oberschenkel des Mannes einen zusätzlichen Druck auf die Klitoris.</v>
      </c>
      <c r="I207" s="1" t="s">
        <v>1334</v>
      </c>
      <c r="J207" s="2" t="b">
        <v>0</v>
      </c>
      <c r="L207" t="str">
        <f>_xlfn.TEXTJOIN("_",TRUE,Table_textAnnotations[[#This Row],[Buch_Key]],Table_textAnnotations[[#This Row],[Anno_Key]],IF(ISBLANK(Table_textAnnotations[[#This Row],[Anno_Page_manuell]]),Table_textAnnotations[[#This Row],[Anno_Page_Auto]],Table_textAnnotations[[#This Row],[Anno_Page_manuell]]))&amp; ".txt"</f>
        <v>2C76HS5A_FFDEZI3Q_64.txt</v>
      </c>
    </row>
    <row r="208" spans="1:12" ht="60" x14ac:dyDescent="0.25">
      <c r="A208" t="s">
        <v>613</v>
      </c>
      <c r="B208" t="s">
        <v>614</v>
      </c>
      <c r="C208">
        <v>1996</v>
      </c>
      <c r="D208" t="s">
        <v>650</v>
      </c>
      <c r="E208" t="s">
        <v>651</v>
      </c>
      <c r="G208" t="s">
        <v>652</v>
      </c>
      <c r="H208" s="1" t="str">
        <f>_xlfn.TEXTJOIN(CHAR(10),FALSE, _xlfn.TEXTSPLIT(Table_textAnnotations[[#This Row],[Anno_Text]], "ABSATZ"))</f>
        <v>Von hinten Die andere Möglichkeit für Menschen - bei den meisten Säugetieren ist es die einzige. Sie funktioniert hervorragend im Stehen, Liegen, Knien, Sitzen oder mit der Frau rittlings oberhalb. Daß man einander nicht ins Gesicht sieht, wird mehr als ausgeglichen durch besondere Tiefe und Pobackenstimulierung, Zugang zu den Brüsten und Klitoris für die Hände sowie den Anblick einer hübschen Rückansicht.</v>
      </c>
      <c r="I208" s="1" t="s">
        <v>652</v>
      </c>
      <c r="J208" s="2" t="b">
        <v>0</v>
      </c>
      <c r="L208" t="str">
        <f>_xlfn.TEXTJOIN("_",TRUE,Table_textAnnotations[[#This Row],[Buch_Key]],Table_textAnnotations[[#This Row],[Anno_Key]],IF(ISBLANK(Table_textAnnotations[[#This Row],[Anno_Page_manuell]]),Table_textAnnotations[[#This Row],[Anno_Page_Auto]],Table_textAnnotations[[#This Row],[Anno_Page_manuell]]))&amp; ".txt"</f>
        <v>2C76HS5A_PVAK6NJR_66.txt</v>
      </c>
    </row>
    <row r="209" spans="1:12" ht="60" x14ac:dyDescent="0.25">
      <c r="A209" t="s">
        <v>613</v>
      </c>
      <c r="B209" t="s">
        <v>614</v>
      </c>
      <c r="C209">
        <v>1996</v>
      </c>
      <c r="D209" t="s">
        <v>653</v>
      </c>
      <c r="E209" t="s">
        <v>654</v>
      </c>
      <c r="G209" t="s">
        <v>655</v>
      </c>
      <c r="H209" s="1" t="str">
        <f>_xlfn.TEXTJOIN(CHAR(10),FALSE, _xlfn.TEXTSPLIT(Table_textAnnotations[[#This Row],[Anno_Text]], "ABSATZ"))</f>
        <v>Manche Frauen haben  es gern, wenn man während des Koitus mit dem Finger an der Klitoris spielt, und das ist bei allen Stellungen von hinten leicht. Jedenfalls lohnt es den Versuch, zumal es den Empfindungsbereich  völlig verändert. Das Umfassen der ganzen Vulva mit einer Hand  verursacht wieder ein anderes Gefühl und vermittelt nicht die  übertriebene Schärfe, die durch starke Klitorisreizung erzielt wird.  Oder Sie können den Penis kurz herausziehen und ein paarmal mit  der Eichel, die Sie mit der Hand führen, über die Klitoris streichen.</v>
      </c>
      <c r="I209" s="1" t="s">
        <v>655</v>
      </c>
      <c r="J209" s="2" t="b">
        <v>0</v>
      </c>
      <c r="L209" t="str">
        <f>_xlfn.TEXTJOIN("_",TRUE,Table_textAnnotations[[#This Row],[Buch_Key]],Table_textAnnotations[[#This Row],[Anno_Key]],IF(ISBLANK(Table_textAnnotations[[#This Row],[Anno_Page_manuell]]),Table_textAnnotations[[#This Row],[Anno_Page_Auto]],Table_textAnnotations[[#This Row],[Anno_Page_manuell]]))&amp; ".txt"</f>
        <v>2C76HS5A_D54A3XBU_67.txt</v>
      </c>
    </row>
    <row r="210" spans="1:12" ht="90" x14ac:dyDescent="0.25">
      <c r="A210" t="s">
        <v>613</v>
      </c>
      <c r="B210" t="s">
        <v>614</v>
      </c>
      <c r="C210">
        <v>1996</v>
      </c>
      <c r="D210" t="s">
        <v>656</v>
      </c>
      <c r="E210" t="s">
        <v>657</v>
      </c>
      <c r="G210" t="s">
        <v>658</v>
      </c>
      <c r="H210" s="1" t="str">
        <f>_xlfn.TEXTJOIN(CHAR(10),FALSE, _xlfn.TEXTSPLIT(Table_textAnnotations[[#This Row],[Anno_Text]], "ABSATZ"))</f>
        <v>Ringe sind etwas anderes. Sie sind grundsätzlich Erektionserhalter; sie können dort, wo sie funktionieren, wirklich nützlich  sein, indem sie eine Teilerektion nach einem Orgasmus unterstützen das erfolgt durch leichtes Drosseln der Venen an der Peniswurzel, um die Schwellkörper anzufüllen. Da sie über dem Schambein getragen werden, können sie auch einen zusätzlichen  Druckpunkt für die Klitoris bilden. Das schönste Exemplar, das  wir gesehen haben, stammt aus China und ist aus Elfenbein hergestellt. Die zwei Himmelsdrachen tragen eine Perle (den Samen) im Gebrauch ist die Perle ein kleiner, für die Klitoris passender  Knopf, die Drachenschuppen öffnen sich und kitzeln die Schamlippen.</v>
      </c>
      <c r="I210" s="1" t="s">
        <v>658</v>
      </c>
      <c r="J210" s="2" t="b">
        <v>0</v>
      </c>
      <c r="L210" t="str">
        <f>_xlfn.TEXTJOIN("_",TRUE,Table_textAnnotations[[#This Row],[Buch_Key]],Table_textAnnotations[[#This Row],[Anno_Key]],IF(ISBLANK(Table_textAnnotations[[#This Row],[Anno_Page_manuell]]),Table_textAnnotations[[#This Row],[Anno_Page_Auto]],Table_textAnnotations[[#This Row],[Anno_Page_manuell]]))&amp; ".txt"</f>
        <v>2C76HS5A_JZ74XGZ4_182.txt</v>
      </c>
    </row>
    <row r="211" spans="1:12" ht="90" x14ac:dyDescent="0.25">
      <c r="A211" t="s">
        <v>613</v>
      </c>
      <c r="B211" t="s">
        <v>614</v>
      </c>
      <c r="C211">
        <v>1996</v>
      </c>
      <c r="D211" t="s">
        <v>659</v>
      </c>
      <c r="E211" t="s">
        <v>657</v>
      </c>
      <c r="G211" t="s">
        <v>660</v>
      </c>
      <c r="H211" s="1" t="str">
        <f>_xlfn.TEXTJOIN(CHAR(10),FALSE, _xlfn.TEXTSPLIT(Table_textAnnotations[[#This Row],[Anno_Text]], "ABSATZ"))</f>
        <v>Die Chinesen und Japaner binden auch dünnes Leder um den ganzen Penis oder den unteren Schaft, die Japaner verwenden auBerdem durchbrochene Röhren, die über das Ganze passen - in jedem Fall sind Druck an der Wurzel sowie das Rauhmachen des Schaftes und der Schamgegend der Zweck des Gerätes. Daneben gibt es gürtelartige Apparate, welche die Vorhaut durch Ziehen an der Peniswurzel zurückhalten. Es gibt heute verschiedene moderne Gummi- oder Plastikmodelle, die um die Schaftwurzel passen und zur Unterstützung des männlichen Schambeins einen Klitoriskitzler tragen. Wir finden viele der Klitorisknoten zu hart und daher nicht angenehm, und alle Gummiringe haben die Eigenschaft, einen der beiden Partner zu kneifen.</v>
      </c>
      <c r="I211" s="1" t="s">
        <v>660</v>
      </c>
      <c r="J211" s="2" t="b">
        <v>0</v>
      </c>
      <c r="L211" t="str">
        <f>_xlfn.TEXTJOIN("_",TRUE,Table_textAnnotations[[#This Row],[Buch_Key]],Table_textAnnotations[[#This Row],[Anno_Key]],IF(ISBLANK(Table_textAnnotations[[#This Row],[Anno_Page_manuell]]),Table_textAnnotations[[#This Row],[Anno_Page_Auto]],Table_textAnnotations[[#This Row],[Anno_Page_manuell]]))&amp; ".txt"</f>
        <v>2C76HS5A_GAPG5JII_182.txt</v>
      </c>
    </row>
    <row r="212" spans="1:12" ht="90" x14ac:dyDescent="0.25">
      <c r="A212" t="s">
        <v>613</v>
      </c>
      <c r="B212" t="s">
        <v>614</v>
      </c>
      <c r="C212">
        <v>1996</v>
      </c>
      <c r="D212" t="s">
        <v>661</v>
      </c>
      <c r="E212" t="s">
        <v>662</v>
      </c>
      <c r="G212" t="s">
        <v>663</v>
      </c>
      <c r="H212" s="1" t="str">
        <f>_xlfn.TEXTJOIN(CHAR(10),FALSE, _xlfn.TEXTSPLIT(Table_textAnnotations[[#This Row],[Anno_Text]], "ABSATZ"))</f>
        <v>[Kontext: "Langsame Masturbation" -&gt; Partner*in fesseln und dann langsames Tease&amp;Denial, hier: Mann bei gefesselter Frau]
Der Mann hat drei Stellen, auf die er sich zu konzentrieren hat Mund, Brüste und Klitoris. Zwei ziemlich straffe Windungen um die Brüste sind nützlich (Vorsicht!). Er kann ebenso beginnen wie sie, mit dem coup de cassolette (Achselhöhle und Eichel), und dann seine Hand über ihre cassolette reiben und auf ihren Mund legen, um ihr das eigene Parfüm zurückzugeben. Er muß ihre Töne und Bewegungen beobachten, um zu erkunden, eine wie kräftige Behandlung der Klitoris sie aushält.</v>
      </c>
      <c r="I212" s="1" t="s">
        <v>1373</v>
      </c>
      <c r="J212" s="2" t="b">
        <v>0</v>
      </c>
      <c r="L212" t="str">
        <f>_xlfn.TEXTJOIN("_",TRUE,Table_textAnnotations[[#This Row],[Buch_Key]],Table_textAnnotations[[#This Row],[Anno_Key]],IF(ISBLANK(Table_textAnnotations[[#This Row],[Anno_Page_manuell]]),Table_textAnnotations[[#This Row],[Anno_Page_Auto]],Table_textAnnotations[[#This Row],[Anno_Page_manuell]]))&amp; ".txt"</f>
        <v>2C76HS5A_U5Z7RDW3_189.txt</v>
      </c>
    </row>
    <row r="213" spans="1:12" ht="75" x14ac:dyDescent="0.25">
      <c r="A213" t="s">
        <v>613</v>
      </c>
      <c r="B213" t="s">
        <v>614</v>
      </c>
      <c r="C213">
        <v>1996</v>
      </c>
      <c r="D213" t="s">
        <v>664</v>
      </c>
      <c r="E213" t="s">
        <v>665</v>
      </c>
      <c r="G213" t="s">
        <v>666</v>
      </c>
      <c r="H213" s="1" t="str">
        <f>_xlfn.TEXTJOIN(CHAR(10),FALSE, _xlfn.TEXTSPLIT(Table_textAnnotations[[#This Row],[Anno_Text]], "ABSATZ"))</f>
        <v>Vibratoren  Ein Hilfsgerät, das sich für den Unterricht sexuell unerfahrener  Frauen zur Stimulierung ihrer eigenen Reaktionen als sehr nützlich erwiesen hat. Es gibt zwei Hauptvarianten - penisförmige, die  an der Haut, den Brüsten, der Klitoris oder tief in der Vagina verwendet werden können (die kleine Ausführung ist anal verwendbar), und größere, mit einem Motor betriebene Modelle, wie sie  von Masseuren benutzt werden, die wie ein Handschuh an die  197 Hand geschnallt werden und an fast jedem Körperteil tolle Gefühle hervorbringen können.</v>
      </c>
      <c r="I213" s="1" t="s">
        <v>666</v>
      </c>
      <c r="J213" s="2" t="b">
        <v>0</v>
      </c>
      <c r="L213" t="str">
        <f>_xlfn.TEXTJOIN("_",TRUE,Table_textAnnotations[[#This Row],[Buch_Key]],Table_textAnnotations[[#This Row],[Anno_Key]],IF(ISBLANK(Table_textAnnotations[[#This Row],[Anno_Page_manuell]]),Table_textAnnotations[[#This Row],[Anno_Page_Auto]],Table_textAnnotations[[#This Row],[Anno_Page_manuell]]))&amp; ".txt"</f>
        <v>2C76HS5A_GYGDJBLA_197f.txt</v>
      </c>
    </row>
    <row r="214" spans="1:12" ht="30" x14ac:dyDescent="0.25">
      <c r="A214" t="s">
        <v>613</v>
      </c>
      <c r="B214" t="s">
        <v>614</v>
      </c>
      <c r="C214">
        <v>1996</v>
      </c>
      <c r="D214" t="s">
        <v>667</v>
      </c>
      <c r="E214" t="s">
        <v>668</v>
      </c>
      <c r="G214" t="s">
        <v>669</v>
      </c>
      <c r="H214" s="1" t="str">
        <f>_xlfn.TEXTJOIN(CHAR(10),FALSE, _xlfn.TEXTSPLIT(Table_textAnnotations[[#This Row],[Anno_Text]], "ABSATZ"))</f>
        <v>Vibratoren sind kein Penisersatz manche Frauen verwenden sie lieber als einen Finger für die Masturbation oder stecken einen in die Vagina, während sie mit der  Hand an der Klitoris arbeiten.</v>
      </c>
      <c r="I214" s="1" t="s">
        <v>669</v>
      </c>
      <c r="J214" s="2" t="b">
        <v>0</v>
      </c>
      <c r="L214" t="str">
        <f>_xlfn.TEXTJOIN("_",TRUE,Table_textAnnotations[[#This Row],[Buch_Key]],Table_textAnnotations[[#This Row],[Anno_Key]],IF(ISBLANK(Table_textAnnotations[[#This Row],[Anno_Page_manuell]]),Table_textAnnotations[[#This Row],[Anno_Page_Auto]],Table_textAnnotations[[#This Row],[Anno_Page_manuell]]))&amp; ".txt"</f>
        <v>2C76HS5A_9RBPKJR8_198.txt</v>
      </c>
    </row>
    <row r="215" spans="1:12" ht="30" x14ac:dyDescent="0.25">
      <c r="A215" t="s">
        <v>613</v>
      </c>
      <c r="B215" t="s">
        <v>614</v>
      </c>
      <c r="C215">
        <v>1996</v>
      </c>
      <c r="D215" t="s">
        <v>670</v>
      </c>
      <c r="E215" t="s">
        <v>668</v>
      </c>
      <c r="G215" t="s">
        <v>671</v>
      </c>
      <c r="H215" s="1" t="str">
        <f>_xlfn.TEXTJOIN(CHAR(10),FALSE, _xlfn.TEXTSPLIT(Table_textAnnotations[[#This Row],[Anno_Text]], "ABSATZ"))</f>
        <v>Eine sorgfältige Vibrator-Massage der ganzen Körperfläche ist der übertriebenen Konzentration auf Penis oder Klitoris  vorzuziehen, erfordert jedoch einige Geschicklichkeit.</v>
      </c>
      <c r="I215" s="1" t="s">
        <v>671</v>
      </c>
      <c r="J215" s="2" t="b">
        <v>0</v>
      </c>
      <c r="L215" t="str">
        <f>_xlfn.TEXTJOIN("_",TRUE,Table_textAnnotations[[#This Row],[Buch_Key]],Table_textAnnotations[[#This Row],[Anno_Key]],IF(ISBLANK(Table_textAnnotations[[#This Row],[Anno_Page_manuell]]),Table_textAnnotations[[#This Row],[Anno_Page_Auto]],Table_textAnnotations[[#This Row],[Anno_Page_manuell]]))&amp; ".txt"</f>
        <v>2C76HS5A_RE6M2H3E_198.txt</v>
      </c>
    </row>
    <row r="216" spans="1:12" ht="105" x14ac:dyDescent="0.25">
      <c r="A216" t="s">
        <v>613</v>
      </c>
      <c r="B216" t="s">
        <v>614</v>
      </c>
      <c r="C216">
        <v>1996</v>
      </c>
      <c r="D216" t="s">
        <v>672</v>
      </c>
      <c r="E216" t="s">
        <v>673</v>
      </c>
      <c r="G216" t="s">
        <v>674</v>
      </c>
      <c r="H216" s="1" t="str">
        <f>_xlfn.TEXTJOIN(CHAR(10),FALSE, _xlfn.TEXTSPLIT(Table_textAnnotations[[#This Row],[Anno_Text]], "ABSATZ"))</f>
        <v>[Kontext: "Frigidität"]
Wenn man einmal ein Stimulans gefunden hat – ob allein oder mit einem Liebhaber -, das Gefühle vermittelt, soll man es bei der Liebesbetätigung voll und ganz anwenden. Wenn man einen Finger an der Klitoris oder einen Genitalkuẞ braucht, soll einen nichts daran hindern die Propaganda hinsichtlich des »vaginalen Orgasmus&lt;&lt; ist tatsächlich Propaganda, und das Werturteil, man sei keine Frau, wenn man nicht allein durch tiefes Eindringen des Penis voll befriedigt werde, ist absolut nicht zutreffend; manche Frauen werden dadurch befriedigt, andere nicht.</v>
      </c>
      <c r="I216" s="1" t="s">
        <v>1374</v>
      </c>
      <c r="J216" s="2" t="b">
        <v>0</v>
      </c>
      <c r="L216" t="str">
        <f>_xlfn.TEXTJOIN("_",TRUE,Table_textAnnotations[[#This Row],[Buch_Key]],Table_textAnnotations[[#This Row],[Anno_Key]],IF(ISBLANK(Table_textAnnotations[[#This Row],[Anno_Page_manuell]]),Table_textAnnotations[[#This Row],[Anno_Page_Auto]],Table_textAnnotations[[#This Row],[Anno_Page_manuell]]))&amp; ".txt"</f>
        <v>2C76HS5A_3AMFJKGT_237f.txt</v>
      </c>
    </row>
    <row r="217" spans="1:12" ht="60" x14ac:dyDescent="0.25">
      <c r="A217" t="s">
        <v>613</v>
      </c>
      <c r="B217" t="s">
        <v>614</v>
      </c>
      <c r="C217">
        <v>1996</v>
      </c>
      <c r="D217" t="s">
        <v>675</v>
      </c>
      <c r="E217" t="s">
        <v>676</v>
      </c>
      <c r="G217" t="s">
        <v>677</v>
      </c>
      <c r="H217" s="1" t="str">
        <f>_xlfn.TEXTJOIN(CHAR(10),FALSE, _xlfn.TEXTSPLIT(Table_textAnnotations[[#This Row],[Anno_Text]], "ABSATZ"))</f>
        <v>[Kontext: "Frigidität"]
Zur Selbsterziehung machen Sie es sich vorerst wirklich bequem - nackt oder nicht, vor einem Spiegel oder nicht, was Ihnen mehr zusagt. Denken Sie oder phantasieren Sie über alles, was irgendeine Reaktion bei Ihnen hervorbringt, dann beginnen Sie allmählich, Ihren Körper zu erforschen. Lassen Sie Ihre Hand dorthin gehen, wo es Ihr Körper wünscht - Brüste, die ganze Hautfläche, Schamlippen, Klitoris.</v>
      </c>
      <c r="I217" s="1" t="s">
        <v>1335</v>
      </c>
      <c r="J217" s="2" t="b">
        <v>1</v>
      </c>
      <c r="L217" t="str">
        <f>_xlfn.TEXTJOIN("_",TRUE,Table_textAnnotations[[#This Row],[Buch_Key]],Table_textAnnotations[[#This Row],[Anno_Key]],IF(ISBLANK(Table_textAnnotations[[#This Row],[Anno_Page_manuell]]),Table_textAnnotations[[#This Row],[Anno_Page_Auto]],Table_textAnnotations[[#This Row],[Anno_Page_manuell]]))&amp; ".txt"</f>
        <v>2C76HS5A_TL9ARUVC_238.txt</v>
      </c>
    </row>
    <row r="218" spans="1:12" ht="105" x14ac:dyDescent="0.25">
      <c r="A218" t="s">
        <v>678</v>
      </c>
      <c r="B218" t="s">
        <v>679</v>
      </c>
      <c r="C218">
        <v>1997</v>
      </c>
      <c r="D218" t="s">
        <v>680</v>
      </c>
      <c r="E218" t="s">
        <v>681</v>
      </c>
      <c r="G218" t="s">
        <v>682</v>
      </c>
      <c r="H218" s="1" t="str">
        <f>_xlfn.TEXTJOIN(CHAR(10),FALSE, _xlfn.TEXTSPLIT(Table_textAnnotations[[#This Row],[Anno_Text]], "ABSATZ"))</f>
        <v>Wir wollen hier einige Fakten über den weiblichen Orgasmus erwähnen: - Es handelt sich gleichermaßen um ein körperliches wie seelisches Erlebnis
- Die Reizung der Klitoris ist sehr bedeutsam
- Sex wird nicht zu jeder Zeit als erfreulich empfunden
- Frauen brauchen länger, bis sie zum Orgasmus kommen, als Männer 
- Frauen können zahlreiche Orgasmen hintereinander erleben; sie benötigen keine Erholungspause wie die Männer</v>
      </c>
      <c r="I218" s="1" t="s">
        <v>1375</v>
      </c>
      <c r="J218" s="2" t="b">
        <v>0</v>
      </c>
      <c r="L218" t="str">
        <f>_xlfn.TEXTJOIN("_",TRUE,Table_textAnnotations[[#This Row],[Buch_Key]],Table_textAnnotations[[#This Row],[Anno_Key]],IF(ISBLANK(Table_textAnnotations[[#This Row],[Anno_Page_manuell]]),Table_textAnnotations[[#This Row],[Anno_Page_Auto]],Table_textAnnotations[[#This Row],[Anno_Page_manuell]]))&amp; ".txt"</f>
        <v>JPCJDS27_G3IA2PDG_489.txt</v>
      </c>
    </row>
    <row r="219" spans="1:12" ht="75" x14ac:dyDescent="0.25">
      <c r="A219" t="s">
        <v>678</v>
      </c>
      <c r="B219" t="s">
        <v>679</v>
      </c>
      <c r="C219">
        <v>1997</v>
      </c>
      <c r="D219" t="s">
        <v>683</v>
      </c>
      <c r="E219" t="s">
        <v>684</v>
      </c>
      <c r="G219" t="s">
        <v>685</v>
      </c>
      <c r="H219" s="1" t="str">
        <f>_xlfn.TEXTJOIN(CHAR(10),FALSE, _xlfn.TEXTSPLIT(Table_textAnnotations[[#This Row],[Anno_Text]], "ABSATZ"))</f>
        <v>Für einen Orgasmus der Frau sind folgende Dinge erforderlich: 
- Einfühlsames Vorspiel 
- Reizung der Klitoris
- Vermeidung von Schmerzen 
- Ausreichende Gleitfähigkeit von Penis und Scheide</v>
      </c>
      <c r="I219" s="1" t="s">
        <v>1336</v>
      </c>
      <c r="J219" s="2" t="b">
        <v>1</v>
      </c>
      <c r="L219" t="str">
        <f>_xlfn.TEXTJOIN("_",TRUE,Table_textAnnotations[[#This Row],[Buch_Key]],Table_textAnnotations[[#This Row],[Anno_Key]],IF(ISBLANK(Table_textAnnotations[[#This Row],[Anno_Page_manuell]]),Table_textAnnotations[[#This Row],[Anno_Page_Auto]],Table_textAnnotations[[#This Row],[Anno_Page_manuell]]))&amp; ".txt"</f>
        <v>JPCJDS27_ED6VAXTU_490.txt</v>
      </c>
    </row>
    <row r="220" spans="1:12" ht="60" x14ac:dyDescent="0.25">
      <c r="A220" t="s">
        <v>686</v>
      </c>
      <c r="B220" t="s">
        <v>687</v>
      </c>
      <c r="C220">
        <v>1999</v>
      </c>
      <c r="D220" t="s">
        <v>688</v>
      </c>
      <c r="E220" t="s">
        <v>519</v>
      </c>
      <c r="G220" t="s">
        <v>689</v>
      </c>
      <c r="H220" s="1" t="str">
        <f>_xlfn.TEXTJOIN(CHAR(10),FALSE, _xlfn.TEXTSPLIT(Table_textAnnotations[[#This Row],[Anno_Text]], "ABSATZ"))</f>
        <v>Zum Glück ist es vielen Frauen völlig gleichgültig, wie groß der Fenis ihres Partners ist. Manche empfinden sogar ein körperliches Unbehagen,  wenn das Glied groß ist - beim oralen Sex ist ein kleiner Penis beispielsweise  angenehmer. Außerdem werden die Lustgefühle der Frau bei Sex hauptsächlich von der Klitoris und von den Nerven im ersten Teil der Scheide  ausgelöst, sodass die Länge des Penis unwichtig ist.</v>
      </c>
      <c r="I220" s="1" t="s">
        <v>689</v>
      </c>
      <c r="J220" s="2" t="b">
        <v>0</v>
      </c>
      <c r="L220" t="str">
        <f>_xlfn.TEXTJOIN("_",TRUE,Table_textAnnotations[[#This Row],[Buch_Key]],Table_textAnnotations[[#This Row],[Anno_Key]],IF(ISBLANK(Table_textAnnotations[[#This Row],[Anno_Page_manuell]]),Table_textAnnotations[[#This Row],[Anno_Page_Auto]],Table_textAnnotations[[#This Row],[Anno_Page_manuell]]))&amp; ".txt"</f>
        <v>4U5ZMJID_Q9X8ZJTK_11.txt</v>
      </c>
    </row>
    <row r="221" spans="1:12" ht="60" x14ac:dyDescent="0.25">
      <c r="A221" t="s">
        <v>686</v>
      </c>
      <c r="B221" t="s">
        <v>687</v>
      </c>
      <c r="C221">
        <v>1999</v>
      </c>
      <c r="D221" t="s">
        <v>690</v>
      </c>
      <c r="E221" t="s">
        <v>691</v>
      </c>
      <c r="G221" t="s">
        <v>692</v>
      </c>
      <c r="H221" s="1" t="str">
        <f>_xlfn.TEXTJOIN(CHAR(10),FALSE, _xlfn.TEXTSPLIT(Table_textAnnotations[[#This Row],[Anno_Text]], "ABSATZ"))</f>
        <v>DIE KLITORIS  Die Klitoris, das empfindlichste Organ  der Vulva, ist sozusagen das weibliche  Gegenstück zum männlichen Penis und  besitzt die gleichen Teile, wenn auch en miniature. In anatomischer und physiologischer Hinsicht ist die Klitoris einzigartig. Der Mann besitzt kein Organ, das  nur dazu dient, Sinnesreize zu empfangen und weiterzuleiten, um die sexuelle  Erregung in Gang zu bringen oder zu verstärken.</v>
      </c>
      <c r="I221" s="1" t="s">
        <v>1423</v>
      </c>
      <c r="J221" s="2" t="b">
        <v>1</v>
      </c>
      <c r="L221" t="str">
        <f>_xlfn.TEXTJOIN("_",TRUE,Table_textAnnotations[[#This Row],[Buch_Key]],Table_textAnnotations[[#This Row],[Anno_Key]],IF(ISBLANK(Table_textAnnotations[[#This Row],[Anno_Page_manuell]]),Table_textAnnotations[[#This Row],[Anno_Page_Auto]],Table_textAnnotations[[#This Row],[Anno_Page_manuell]]))&amp; ".txt"</f>
        <v>4U5ZMJID_BWIGK9BL_14.txt</v>
      </c>
    </row>
    <row r="222" spans="1:12" ht="45" x14ac:dyDescent="0.25">
      <c r="A222" t="s">
        <v>686</v>
      </c>
      <c r="B222" t="s">
        <v>687</v>
      </c>
      <c r="C222">
        <v>1999</v>
      </c>
      <c r="D222" t="s">
        <v>693</v>
      </c>
      <c r="E222" t="s">
        <v>691</v>
      </c>
      <c r="G222" t="s">
        <v>694</v>
      </c>
      <c r="H222" s="1" t="str">
        <f>_xlfn.TEXTJOIN(CHAR(10),FALSE, _xlfn.TEXTSPLIT(Table_textAnnotations[[#This Row],[Anno_Text]], "ABSATZ"))</f>
        <v>Die Klitoris ist 2 bis 3 cm lang. Ihre Spitze ist von einer empfindlichen  Schleimhaut bedeckt, die viele Nervenrezeptoren enthält. Beim Sex wird die  Klitoris doppelt so groß und richtet sich  aufwie ein Penis. Ihre Länge, einschlieẞlich Schaft und Eichel, variiert beträchtlich, jenachdem, wie stark das Wachstum in der Pubertät von Hormonen angeregt  wurde.</v>
      </c>
      <c r="I222" s="1" t="s">
        <v>694</v>
      </c>
      <c r="J222" s="2" t="b">
        <v>1</v>
      </c>
      <c r="L222" t="str">
        <f>_xlfn.TEXTJOIN("_",TRUE,Table_textAnnotations[[#This Row],[Buch_Key]],Table_textAnnotations[[#This Row],[Anno_Key]],IF(ISBLANK(Table_textAnnotations[[#This Row],[Anno_Page_manuell]]),Table_textAnnotations[[#This Row],[Anno_Page_Auto]],Table_textAnnotations[[#This Row],[Anno_Page_manuell]]))&amp; ".txt"</f>
        <v>4U5ZMJID_IHTGUPR4_14.txt</v>
      </c>
    </row>
    <row r="223" spans="1:12" ht="45" x14ac:dyDescent="0.25">
      <c r="A223" t="s">
        <v>686</v>
      </c>
      <c r="B223" t="s">
        <v>687</v>
      </c>
      <c r="C223">
        <v>1999</v>
      </c>
      <c r="D223" t="s">
        <v>695</v>
      </c>
      <c r="E223" t="s">
        <v>696</v>
      </c>
      <c r="G223" t="s">
        <v>697</v>
      </c>
      <c r="H223" s="1" t="str">
        <f>_xlfn.TEXTJOIN(CHAR(10),FALSE, _xlfn.TEXTSPLIT(Table_textAnnotations[[#This Row],[Anno_Text]], "ABSATZ"))</f>
        <v>Die erste Reaktion auf eine sexuelle Stimulation die unweigerlich mit einer Berührungbeginnt - ist die Befeuchtung  der Scheide nach 10 bis 30 Sekunden.  Die Scheidenwand sondert schleimige Tröpfchen ab, eine Art Schweiß. Die sexuelle Reaktion der Frau wird zwar  hauptsächlich von der Klitoris ausgelöst,  doch diese reagiert nicht annähernd so  schnell wie der Penis.</v>
      </c>
      <c r="I223" s="1" t="s">
        <v>697</v>
      </c>
      <c r="J223" s="2" t="b">
        <v>1</v>
      </c>
      <c r="L223" t="str">
        <f>_xlfn.TEXTJOIN("_",TRUE,Table_textAnnotations[[#This Row],[Buch_Key]],Table_textAnnotations[[#This Row],[Anno_Key]],IF(ISBLANK(Table_textAnnotations[[#This Row],[Anno_Page_manuell]]),Table_textAnnotations[[#This Row],[Anno_Page_Auto]],Table_textAnnotations[[#This Row],[Anno_Page_manuell]]))&amp; ".txt"</f>
        <v>4U5ZMJID_U4GTLD7L_16.txt</v>
      </c>
    </row>
    <row r="224" spans="1:12" ht="105" x14ac:dyDescent="0.25">
      <c r="A224" t="s">
        <v>686</v>
      </c>
      <c r="B224" t="s">
        <v>687</v>
      </c>
      <c r="C224">
        <v>1999</v>
      </c>
      <c r="D224" t="s">
        <v>698</v>
      </c>
      <c r="E224" t="s">
        <v>696</v>
      </c>
      <c r="G224" t="s">
        <v>699</v>
      </c>
      <c r="H224" s="1" t="str">
        <f>_xlfn.TEXTJOIN(CHAR(10),FALSE, _xlfn.TEXTSPLIT(Table_textAnnotations[[#This Row],[Anno_Text]], "ABSATZ"))</f>
        <v>DIE KLITORIS REAGIERT  Wie schnell die Klitoris reagiert, hängt  davon ab, ob sie direkt oder indirekt  stimuliert wird. Am wirksamsten ist eine  unmittelbare Stimulation des Klitorisschafts oder des Venushügels. Eine indirekte Stimulation, zum Beispiel die  Berührung anderer erogener Zonen wie der Brüste oder der Scheide, löst eine  deutliche, aber langsamere Reaktion aus.  Die Berührung- mit den Fingern, dem Mund oder dem Penis - ist die einzige direkte Stimulation und die meisten Frauen kommen nur durch Berührung und Penetration zum Orgasmus. Beim Sex  wird die Klitoris zwar nicht unmittelbar  stimuliert, sodass die Bewegung des Penis  oft nicht genügt, um einen Orgasmus  auszulösen; aber ihre indirekte Stimulation führt dazu, dass der Schaft nach unten  gedrückt und die Eichel entblößt wird.</v>
      </c>
      <c r="I224" s="1" t="s">
        <v>1402</v>
      </c>
      <c r="J224" s="2" t="b">
        <v>1</v>
      </c>
      <c r="L224" t="str">
        <f>_xlfn.TEXTJOIN("_",TRUE,Table_textAnnotations[[#This Row],[Buch_Key]],Table_textAnnotations[[#This Row],[Anno_Key]],IF(ISBLANK(Table_textAnnotations[[#This Row],[Anno_Page_manuell]]),Table_textAnnotations[[#This Row],[Anno_Page_Auto]],Table_textAnnotations[[#This Row],[Anno_Page_manuell]]))&amp; ".txt"</f>
        <v>4U5ZMJID_HWA43PG4_16.txt</v>
      </c>
    </row>
    <row r="225" spans="1:12" x14ac:dyDescent="0.25">
      <c r="A225" t="s">
        <v>686</v>
      </c>
      <c r="B225" t="s">
        <v>687</v>
      </c>
      <c r="C225">
        <v>1999</v>
      </c>
      <c r="D225" t="s">
        <v>700</v>
      </c>
      <c r="E225" t="s">
        <v>522</v>
      </c>
      <c r="G225" t="s">
        <v>701</v>
      </c>
      <c r="H225" s="1" t="str">
        <f>_xlfn.TEXTJOIN(CHAR(10),FALSE, _xlfn.TEXTSPLIT(Table_textAnnotations[[#This Row],[Anno_Text]], "ABSATZ"))</f>
        <v>Es ist nie gelungen, die Klitoris beim Orgasmus zu untersuchen, weil sie sich  unter die Labia minora zurückzieht.</v>
      </c>
      <c r="I225" s="1" t="s">
        <v>701</v>
      </c>
      <c r="J225" s="2" t="b">
        <v>1</v>
      </c>
      <c r="L225" t="str">
        <f>_xlfn.TEXTJOIN("_",TRUE,Table_textAnnotations[[#This Row],[Buch_Key]],Table_textAnnotations[[#This Row],[Anno_Key]],IF(ISBLANK(Table_textAnnotations[[#This Row],[Anno_Page_manuell]]),Table_textAnnotations[[#This Row],[Anno_Page_Auto]],Table_textAnnotations[[#This Row],[Anno_Page_manuell]]))&amp; ".txt"</f>
        <v>4U5ZMJID_QXICRX2R_17.txt</v>
      </c>
    </row>
    <row r="226" spans="1:12" ht="60" x14ac:dyDescent="0.25">
      <c r="A226" t="s">
        <v>686</v>
      </c>
      <c r="B226" t="s">
        <v>687</v>
      </c>
      <c r="C226">
        <v>1999</v>
      </c>
      <c r="D226" t="s">
        <v>702</v>
      </c>
      <c r="E226" t="s">
        <v>522</v>
      </c>
      <c r="G226" t="s">
        <v>703</v>
      </c>
      <c r="H226" s="1" t="str">
        <f>_xlfn.TEXTJOIN(CHAR(10),FALSE, _xlfn.TEXTSPLIT(Table_textAnnotations[[#This Row],[Anno_Text]], "ABSATZ"))</f>
        <v>Nach dem Orgasmus können 10 bis  15 Minuten vergehen, bis die Vagina  wieder ihre normale Farbe annimmt und  faltig wird. Die Klitoris hat 5 bis 10 Sekunden nach der letzten orgasmischen  Kontraktion wieder ihre normale Form  und die Labia minora verlieren ebenso  schnell ihre dunklere Farbe.  Das Abschwellen der Klitoriseichel  kann 5 bis 10 Minuten dauern, manchmal 30 Minuten. Wird der Orgasmus nicht erreicht, bleibt die Klitoris nach  dem Sex mitunter stundenlang geschwollen.</v>
      </c>
      <c r="I226" s="1" t="s">
        <v>703</v>
      </c>
      <c r="J226" s="2" t="b">
        <v>1</v>
      </c>
      <c r="L226" t="str">
        <f>_xlfn.TEXTJOIN("_",TRUE,Table_textAnnotations[[#This Row],[Buch_Key]],Table_textAnnotations[[#This Row],[Anno_Key]],IF(ISBLANK(Table_textAnnotations[[#This Row],[Anno_Page_manuell]]),Table_textAnnotations[[#This Row],[Anno_Page_Auto]],Table_textAnnotations[[#This Row],[Anno_Page_manuell]]))&amp; ".txt"</f>
        <v>4U5ZMJID_DEPGNG6L_17.txt</v>
      </c>
    </row>
    <row r="227" spans="1:12" ht="30" x14ac:dyDescent="0.25">
      <c r="A227" t="s">
        <v>686</v>
      </c>
      <c r="B227" t="s">
        <v>687</v>
      </c>
      <c r="C227">
        <v>1999</v>
      </c>
      <c r="D227" t="s">
        <v>704</v>
      </c>
      <c r="E227" t="s">
        <v>51</v>
      </c>
      <c r="G227" t="s">
        <v>705</v>
      </c>
      <c r="H227" s="1" t="str">
        <f>_xlfn.TEXTJOIN(CHAR(10),FALSE, _xlfn.TEXTSPLIT(Table_textAnnotations[[#This Row],[Anno_Text]], "ABSATZ"))</f>
        <v>Bei Frauen lösen die Stimulation der Klitoris und die Bewegung des  Penis in der Vagina den Orgasmus aus. Sie können ihn aber auch durch  manuelle oder orale Stimulation der Klitoris, der Scheide oder des  „G-Punktes“ erreichen.</v>
      </c>
      <c r="I227" s="1" t="s">
        <v>705</v>
      </c>
      <c r="J227" s="2" t="b">
        <v>1</v>
      </c>
      <c r="L227" t="str">
        <f>_xlfn.TEXTJOIN("_",TRUE,Table_textAnnotations[[#This Row],[Buch_Key]],Table_textAnnotations[[#This Row],[Anno_Key]],IF(ISBLANK(Table_textAnnotations[[#This Row],[Anno_Page_manuell]]),Table_textAnnotations[[#This Row],[Anno_Page_Auto]],Table_textAnnotations[[#This Row],[Anno_Page_manuell]]))&amp; ".txt"</f>
        <v>4U5ZMJID_UAGRNE97_20.txt</v>
      </c>
    </row>
    <row r="228" spans="1:12" ht="45" x14ac:dyDescent="0.25">
      <c r="A228" t="s">
        <v>686</v>
      </c>
      <c r="B228" t="s">
        <v>687</v>
      </c>
      <c r="C228">
        <v>1999</v>
      </c>
      <c r="D228" t="s">
        <v>706</v>
      </c>
      <c r="E228" t="s">
        <v>707</v>
      </c>
      <c r="G228" t="s">
        <v>708</v>
      </c>
      <c r="H228" s="1" t="str">
        <f>_xlfn.TEXTJOIN(CHAR(10),FALSE, _xlfn.TEXTSPLIT(Table_textAnnotations[[#This Row],[Anno_Text]], "ABSATZ"))</f>
        <v>Masters und Johnson, zwei Sexualforscher, beharrten darauf, dass der  Orgasmus der Frau von der Klitoris ausgelöst wird und nicht in der Vagina. Viele Frauen kennen jedoch eine Artvon Orgasmus, der zwar in der Klitoris beginnt,  sich aber in der Scheide fortsetzt und  noch intensivere Lustgefühle auslöst. Die Ursache dieses Orgasmus soll eine  Stimulation des „G-Punktes" sein (siehe  S. 24).</v>
      </c>
      <c r="I228" s="1" t="s">
        <v>1448</v>
      </c>
      <c r="J228" s="2" t="b">
        <v>1</v>
      </c>
      <c r="L228" t="str">
        <f>_xlfn.TEXTJOIN("_",TRUE,Table_textAnnotations[[#This Row],[Buch_Key]],Table_textAnnotations[[#This Row],[Anno_Key]],IF(ISBLANK(Table_textAnnotations[[#This Row],[Anno_Page_manuell]]),Table_textAnnotations[[#This Row],[Anno_Page_Auto]],Table_textAnnotations[[#This Row],[Anno_Page_manuell]]))&amp; ".txt"</f>
        <v>4U5ZMJID_66EV83UG_21.txt</v>
      </c>
    </row>
    <row r="229" spans="1:12" ht="45" x14ac:dyDescent="0.25">
      <c r="A229" t="s">
        <v>686</v>
      </c>
      <c r="B229" t="s">
        <v>687</v>
      </c>
      <c r="C229">
        <v>1999</v>
      </c>
      <c r="D229" t="s">
        <v>709</v>
      </c>
      <c r="E229" t="s">
        <v>350</v>
      </c>
      <c r="G229" t="s">
        <v>710</v>
      </c>
      <c r="H229" s="1" t="str">
        <f>_xlfn.TEXTJOIN(CHAR(10),FALSE, _xlfn.TEXTSPLIT(Table_textAnnotations[[#This Row],[Anno_Text]], "ABSATZ"))</f>
        <v>Je stimulierender und erotischer das Vorspiel ist, desto schneller ist die einleitende Phase beendet. Wenn der Penis in die Vagina  eindringt, nimmt die Erregung allmählich immer mehr zu und es wird gleichzeitig die Klitoris stimuliert, sodass die Frau schnell den Orgasmus  erreichen kann.</v>
      </c>
      <c r="I229" s="1" t="s">
        <v>710</v>
      </c>
      <c r="J229" s="2" t="b">
        <v>0</v>
      </c>
      <c r="L229" t="str">
        <f>_xlfn.TEXTJOIN("_",TRUE,Table_textAnnotations[[#This Row],[Buch_Key]],Table_textAnnotations[[#This Row],[Anno_Key]],IF(ISBLANK(Table_textAnnotations[[#This Row],[Anno_Page_manuell]]),Table_textAnnotations[[#This Row],[Anno_Page_Auto]],Table_textAnnotations[[#This Row],[Anno_Page_manuell]]))&amp; ".txt"</f>
        <v>4U5ZMJID_ZK6K3R28_23.txt</v>
      </c>
    </row>
    <row r="230" spans="1:12" ht="60" x14ac:dyDescent="0.25">
      <c r="A230" t="s">
        <v>686</v>
      </c>
      <c r="B230" t="s">
        <v>687</v>
      </c>
      <c r="C230">
        <v>1999</v>
      </c>
      <c r="D230" t="s">
        <v>711</v>
      </c>
      <c r="E230" t="s">
        <v>712</v>
      </c>
      <c r="G230" t="s">
        <v>713</v>
      </c>
      <c r="H230" s="1" t="str">
        <f>_xlfn.TEXTJOIN(CHAR(10),FALSE, _xlfn.TEXTSPLIT(Table_textAnnotations[[#This Row],[Anno_Text]], "ABSATZ"))</f>
        <v>Drücken Sie mit den Fingern oben auf  die vordere innere Scheidenwand und  mit der anderen Hand gleichzeitig außen  auf den Bauch. Wenn Sie den Punkt stimulieren, sollte er anschwellen und zwischen den Fingern inner- und außerhalb  der Vagina als Knoten tastbar sein. Das  kann intensive Lustgefühle auslösen und vielleicht haben Sie einen heftigen Orgasmus, der ganz anders ist als der, den  die Klitoris einleitet.</v>
      </c>
      <c r="I230" s="1" t="s">
        <v>713</v>
      </c>
      <c r="J230" s="2" t="b">
        <v>1</v>
      </c>
      <c r="L230" t="str">
        <f>_xlfn.TEXTJOIN("_",TRUE,Table_textAnnotations[[#This Row],[Buch_Key]],Table_textAnnotations[[#This Row],[Anno_Key]],IF(ISBLANK(Table_textAnnotations[[#This Row],[Anno_Page_manuell]]),Table_textAnnotations[[#This Row],[Anno_Page_Auto]],Table_textAnnotations[[#This Row],[Anno_Page_manuell]]))&amp; ".txt"</f>
        <v>4U5ZMJID_NYBSWBRH_26.txt</v>
      </c>
    </row>
    <row r="231" spans="1:12" ht="75" x14ac:dyDescent="0.25">
      <c r="A231" t="s">
        <v>686</v>
      </c>
      <c r="B231" t="s">
        <v>687</v>
      </c>
      <c r="C231">
        <v>1999</v>
      </c>
      <c r="D231" t="s">
        <v>714</v>
      </c>
      <c r="E231" t="s">
        <v>715</v>
      </c>
      <c r="G231" t="s">
        <v>716</v>
      </c>
      <c r="H231" s="1" t="str">
        <f>_xlfn.TEXTJOIN(CHAR(10),FALSE, _xlfn.TEXTSPLIT(Table_textAnnotations[[#This Row],[Anno_Text]], "ABSATZ"))</f>
        <v>[Kontext:] Die folgenden Tipps können Ihnen helfen, weniger streng zu sich zu sein und Ihren Körper als Quelle sexueller Lust zu betrachten. Am besten machen Sie diese „Übungen" allein, wenn Sie viel Zeit haben und entspannt sind. [...]
5 Untersuchen Sie Ihre Vagina mit einem Handspiegel bei gutem Licht. Identifizieren Sie die einzelnen Teile. Ziehen Sie die Vorhaut der Klitoris zurück, streichen Sie mit den Fingern über die inneren und äußeren Labien und über den Damm, um weitere sensitive Stellen zu finden. Spreizen Sie die kleinen Labien und erforschen Sie die Vagina außen und innen.</v>
      </c>
      <c r="I231" s="1" t="s">
        <v>1337</v>
      </c>
      <c r="J231" s="2" t="b">
        <v>0</v>
      </c>
      <c r="L231" t="str">
        <f>_xlfn.TEXTJOIN("_",TRUE,Table_textAnnotations[[#This Row],[Buch_Key]],Table_textAnnotations[[#This Row],[Anno_Key]],IF(ISBLANK(Table_textAnnotations[[#This Row],[Anno_Page_manuell]]),Table_textAnnotations[[#This Row],[Anno_Page_Auto]],Table_textAnnotations[[#This Row],[Anno_Page_manuell]]))&amp; ".txt"</f>
        <v>4U5ZMJID_YBS8HY5T_40f.txt</v>
      </c>
    </row>
    <row r="232" spans="1:12" ht="60" x14ac:dyDescent="0.25">
      <c r="A232" t="s">
        <v>686</v>
      </c>
      <c r="B232" t="s">
        <v>687</v>
      </c>
      <c r="C232">
        <v>1999</v>
      </c>
      <c r="D232" t="s">
        <v>717</v>
      </c>
      <c r="E232" t="s">
        <v>718</v>
      </c>
      <c r="G232" t="s">
        <v>719</v>
      </c>
      <c r="H232" s="1" t="str">
        <f>_xlfn.TEXTJOIN(CHAR(10),FALSE, _xlfn.TEXTSPLIT(Table_textAnnotations[[#This Row],[Anno_Text]], "ABSATZ"))</f>
        <v>[Kontext: "Das sexuelle Repertoire", "Was Männer tun können"]
• Sie stimulieren Klitoris und Scheide und bringen Ihre Partnerin zum Orgasmus. • Sie stimulieren Klitoris und Scheide mit dem Mund und bringen Ihre Partnerin zum Orgasmus.</v>
      </c>
      <c r="I232" s="1" t="s">
        <v>1376</v>
      </c>
      <c r="J232" s="2" t="b">
        <v>0</v>
      </c>
      <c r="L232" t="str">
        <f>_xlfn.TEXTJOIN("_",TRUE,Table_textAnnotations[[#This Row],[Buch_Key]],Table_textAnnotations[[#This Row],[Anno_Key]],IF(ISBLANK(Table_textAnnotations[[#This Row],[Anno_Page_manuell]]),Table_textAnnotations[[#This Row],[Anno_Page_Auto]],Table_textAnnotations[[#This Row],[Anno_Page_manuell]]))&amp; ".txt"</f>
        <v>4U5ZMJID_I55IJ7IM_42.txt</v>
      </c>
    </row>
    <row r="233" spans="1:12" ht="30" x14ac:dyDescent="0.25">
      <c r="A233" t="s">
        <v>686</v>
      </c>
      <c r="B233" t="s">
        <v>687</v>
      </c>
      <c r="C233">
        <v>1999</v>
      </c>
      <c r="D233" t="s">
        <v>720</v>
      </c>
      <c r="E233" t="s">
        <v>573</v>
      </c>
      <c r="G233" t="s">
        <v>721</v>
      </c>
      <c r="H233" s="1" t="str">
        <f>_xlfn.TEXTJOIN(CHAR(10),FALSE, _xlfn.TEXTSPLIT(Table_textAnnotations[[#This Row],[Anno_Text]], "ABSATZ"))</f>
        <v>Die Klitoris ist der empfindlichste Teil des weiblichen Körpers. Stimulieren Sie sie sanft und geschickt, ohne Hast. Viele Frauen mögen  es besonders, wenn Sie dazu die Eichel  benutzen.</v>
      </c>
      <c r="I233" s="1" t="s">
        <v>721</v>
      </c>
      <c r="J233" s="2" t="b">
        <v>1</v>
      </c>
      <c r="L233" t="str">
        <f>_xlfn.TEXTJOIN("_",TRUE,Table_textAnnotations[[#This Row],[Buch_Key]],Table_textAnnotations[[#This Row],[Anno_Key]],IF(ISBLANK(Table_textAnnotations[[#This Row],[Anno_Page_manuell]]),Table_textAnnotations[[#This Row],[Anno_Page_Auto]],Table_textAnnotations[[#This Row],[Anno_Page_manuell]]))&amp; ".txt"</f>
        <v>4U5ZMJID_RU59NF9U_49.txt</v>
      </c>
    </row>
    <row r="234" spans="1:12" ht="30" x14ac:dyDescent="0.25">
      <c r="A234" t="s">
        <v>686</v>
      </c>
      <c r="B234" t="s">
        <v>687</v>
      </c>
      <c r="C234">
        <v>1999</v>
      </c>
      <c r="D234" t="s">
        <v>722</v>
      </c>
      <c r="E234" t="s">
        <v>723</v>
      </c>
      <c r="G234" t="s">
        <v>724</v>
      </c>
      <c r="H234" s="1" t="str">
        <f>_xlfn.TEXTJOIN(CHAR(10),FALSE, _xlfn.TEXTSPLIT(Table_textAnnotations[[#This Row],[Anno_Text]], "ABSATZ"))</f>
        <v>Einerlei, ob Geschlechtsverkehr geplant ist oder nicht - wenn ein Mann  zärtlich wird, berührt, küsst und liebkost er früher oder später die Brüste, die Brustwarzen und die Klitoris der Partnerin und ermutigt sie, das gleiche  mit seinem Penis zu tun.</v>
      </c>
      <c r="I234" s="1" t="s">
        <v>724</v>
      </c>
      <c r="J234" s="2" t="b">
        <v>0</v>
      </c>
      <c r="L234" t="str">
        <f>_xlfn.TEXTJOIN("_",TRUE,Table_textAnnotations[[#This Row],[Buch_Key]],Table_textAnnotations[[#This Row],[Anno_Key]],IF(ISBLANK(Table_textAnnotations[[#This Row],[Anno_Page_manuell]]),Table_textAnnotations[[#This Row],[Anno_Page_Auto]],Table_textAnnotations[[#This Row],[Anno_Page_manuell]]))&amp; ".txt"</f>
        <v>4U5ZMJID_PCSYD9TL_50.txt</v>
      </c>
    </row>
    <row r="235" spans="1:12" ht="30" x14ac:dyDescent="0.25">
      <c r="A235" t="s">
        <v>686</v>
      </c>
      <c r="B235" t="s">
        <v>687</v>
      </c>
      <c r="C235">
        <v>1999</v>
      </c>
      <c r="D235" t="s">
        <v>725</v>
      </c>
      <c r="E235" t="s">
        <v>359</v>
      </c>
      <c r="G235" t="s">
        <v>726</v>
      </c>
      <c r="H235" s="1" t="str">
        <f>_xlfn.TEXTJOIN(CHAR(10),FALSE, _xlfn.TEXTSPLIT(Table_textAnnotations[[#This Row],[Anno_Text]], "ABSATZ"))</f>
        <v>Das sexuelle Interesse des Mannes gilt vor allem der Eichel seines Penis. Frauen  haben viel mehr zur Auswahl (nicht nur  Schaft und Eichel der Klitoris sind hochempfindlich, sondern auch die Labien, die Scheidenöffnung und die Scheide).</v>
      </c>
      <c r="I235" s="1" t="s">
        <v>726</v>
      </c>
      <c r="J235" s="2" t="b">
        <v>1</v>
      </c>
      <c r="L235" t="str">
        <f>_xlfn.TEXTJOIN("_",TRUE,Table_textAnnotations[[#This Row],[Buch_Key]],Table_textAnnotations[[#This Row],[Anno_Key]],IF(ISBLANK(Table_textAnnotations[[#This Row],[Anno_Page_manuell]]),Table_textAnnotations[[#This Row],[Anno_Page_Auto]],Table_textAnnotations[[#This Row],[Anno_Page_manuell]]))&amp; ".txt"</f>
        <v>4U5ZMJID_4KTKMYFG_53.txt</v>
      </c>
    </row>
    <row r="236" spans="1:12" ht="30" x14ac:dyDescent="0.25">
      <c r="A236" t="s">
        <v>686</v>
      </c>
      <c r="B236" t="s">
        <v>687</v>
      </c>
      <c r="C236">
        <v>1999</v>
      </c>
      <c r="D236" t="s">
        <v>727</v>
      </c>
      <c r="E236" t="s">
        <v>406</v>
      </c>
      <c r="G236" t="s">
        <v>728</v>
      </c>
      <c r="H236" s="1" t="str">
        <f>_xlfn.TEXTJOIN(CHAR(10),FALSE, _xlfn.TEXTSPLIT(Table_textAnnotations[[#This Row],[Anno_Text]], "ABSATZ"))</f>
        <v>Jede Frau masturbiert anders, aber kaum eine reibt die Eichel der Klitoris, weil diese oft zu empfindlich reagiert, vor allem  nach dem Orgasmus. Der Partner sollte  die Eichel daher erst wieder berühren,  wenn die Partnerin es wünscht.</v>
      </c>
      <c r="I236" s="1" t="s">
        <v>728</v>
      </c>
      <c r="J236" s="2" t="b">
        <v>1</v>
      </c>
      <c r="L236" t="str">
        <f>_xlfn.TEXTJOIN("_",TRUE,Table_textAnnotations[[#This Row],[Buch_Key]],Table_textAnnotations[[#This Row],[Anno_Key]],IF(ISBLANK(Table_textAnnotations[[#This Row],[Anno_Page_manuell]]),Table_textAnnotations[[#This Row],[Anno_Page_Auto]],Table_textAnnotations[[#This Row],[Anno_Page_manuell]]))&amp; ".txt"</f>
        <v>4U5ZMJID_GG8SFEI2_55.txt</v>
      </c>
    </row>
    <row r="237" spans="1:12" ht="45" x14ac:dyDescent="0.25">
      <c r="A237" t="s">
        <v>686</v>
      </c>
      <c r="B237" t="s">
        <v>687</v>
      </c>
      <c r="C237">
        <v>1999</v>
      </c>
      <c r="D237" t="s">
        <v>729</v>
      </c>
      <c r="E237" t="s">
        <v>406</v>
      </c>
      <c r="G237" t="s">
        <v>730</v>
      </c>
      <c r="H237" s="1" t="str">
        <f>_xlfn.TEXTJOIN(CHAR(10),FALSE, _xlfn.TEXTSPLIT(Table_textAnnotations[[#This Row],[Anno_Text]], "ABSATZ"))</f>
        <v>Die meisten Frauen, die die Klitoris  stimulieren, berühren nur deren Schaft,  und zwar die rechte Seite, wenn sie  Rechtshänderin sind und die linke, wenn  sie Linkshänderin sind. Viele wechseln  auch die Seiten, weil sich bei intensiver  Stimulation sonst ein Taubheitsgefühl  einstellt.</v>
      </c>
      <c r="I237" s="1" t="s">
        <v>730</v>
      </c>
      <c r="J237" s="2" t="b">
        <v>1</v>
      </c>
      <c r="L237" t="str">
        <f>_xlfn.TEXTJOIN("_",TRUE,Table_textAnnotations[[#This Row],[Buch_Key]],Table_textAnnotations[[#This Row],[Anno_Key]],IF(ISBLANK(Table_textAnnotations[[#This Row],[Anno_Page_manuell]]),Table_textAnnotations[[#This Row],[Anno_Page_Auto]],Table_textAnnotations[[#This Row],[Anno_Page_manuell]]))&amp; ".txt"</f>
        <v>4U5ZMJID_U3GQHU5D_55.txt</v>
      </c>
    </row>
    <row r="238" spans="1:12" ht="30" x14ac:dyDescent="0.25">
      <c r="A238" t="s">
        <v>686</v>
      </c>
      <c r="B238" t="s">
        <v>687</v>
      </c>
      <c r="C238">
        <v>1999</v>
      </c>
      <c r="D238" t="s">
        <v>731</v>
      </c>
      <c r="E238" t="s">
        <v>406</v>
      </c>
      <c r="G238" t="s">
        <v>732</v>
      </c>
      <c r="H238" s="1" t="str">
        <f>_xlfn.TEXTJOIN(CHAR(10),FALSE, _xlfn.TEXTSPLIT(Table_textAnnotations[[#This Row],[Anno_Text]], "ABSATZ"))</f>
        <v>Nur sehr wenige Frauen konzentrieren  sich allein aufdie Klitoris; die meisten stimulieren den ganzen Venushügel.</v>
      </c>
      <c r="I238" s="1" t="s">
        <v>1447</v>
      </c>
      <c r="J238" s="2" t="b">
        <v>1</v>
      </c>
      <c r="L238" t="str">
        <f>_xlfn.TEXTJOIN("_",TRUE,Table_textAnnotations[[#This Row],[Buch_Key]],Table_textAnnotations[[#This Row],[Anno_Key]],IF(ISBLANK(Table_textAnnotations[[#This Row],[Anno_Page_manuell]]),Table_textAnnotations[[#This Row],[Anno_Page_Auto]],Table_textAnnotations[[#This Row],[Anno_Page_manuell]]))&amp; ".txt"</f>
        <v>4U5ZMJID_FVHEXKWK_55.txt</v>
      </c>
    </row>
    <row r="239" spans="1:12" x14ac:dyDescent="0.25">
      <c r="A239" t="s">
        <v>686</v>
      </c>
      <c r="B239" t="s">
        <v>687</v>
      </c>
      <c r="C239">
        <v>1999</v>
      </c>
      <c r="D239" t="s">
        <v>733</v>
      </c>
      <c r="E239" t="s">
        <v>406</v>
      </c>
      <c r="G239" t="s">
        <v>734</v>
      </c>
      <c r="H239" s="1" t="str">
        <f>_xlfn.TEXTJOIN(CHAR(10),FALSE, _xlfn.TEXTSPLIT(Table_textAnnotations[[#This Row],[Anno_Text]], "ABSATZ"))</f>
        <v>Beim Masturbieren streicheln die meisten Frauen den Schaft der Klitoris ohne  Pause bis zum Ende des Orgasmus.</v>
      </c>
      <c r="I239" s="1" t="s">
        <v>734</v>
      </c>
      <c r="J239" s="2" t="b">
        <v>1</v>
      </c>
      <c r="L239" t="str">
        <f>_xlfn.TEXTJOIN("_",TRUE,Table_textAnnotations[[#This Row],[Buch_Key]],Table_textAnnotations[[#This Row],[Anno_Key]],IF(ISBLANK(Table_textAnnotations[[#This Row],[Anno_Page_manuell]]),Table_textAnnotations[[#This Row],[Anno_Page_Auto]],Table_textAnnotations[[#This Row],[Anno_Page_manuell]]))&amp; ".txt"</f>
        <v>4U5ZMJID_LHDJVFX5_55.txt</v>
      </c>
    </row>
    <row r="240" spans="1:12" ht="45" x14ac:dyDescent="0.25">
      <c r="A240" t="s">
        <v>686</v>
      </c>
      <c r="B240" t="s">
        <v>687</v>
      </c>
      <c r="C240">
        <v>1999</v>
      </c>
      <c r="D240" t="s">
        <v>735</v>
      </c>
      <c r="E240" t="s">
        <v>409</v>
      </c>
      <c r="G240" t="s">
        <v>736</v>
      </c>
      <c r="H240" s="1" t="str">
        <f>_xlfn.TEXTJOIN(CHAR(10),FALSE, _xlfn.TEXTSPLIT(Table_textAnnotations[[#This Row],[Anno_Text]], "ABSATZ"))</f>
        <v>Mit den Fingern, der Handfläche und  den Handballen können Sie die stärksten  Lustgefühle im Bereich der Klitoris auslösen. Machen Sie die Finger mit Scheidensekret, Speichel oder Creme (siehe  S. 63) glitschig. Geeignet sind kreisförmige oder vibrierende Bewegungen. Legen Sie die Hand über die Klitoris,  üben Sie mit den Fingern oder mit der Handfläche sanften Druck aus und bewegen Sie die Hand kreisförmig.</v>
      </c>
      <c r="I240" s="1" t="s">
        <v>736</v>
      </c>
      <c r="J240" s="2" t="b">
        <v>0</v>
      </c>
      <c r="L240" t="str">
        <f>_xlfn.TEXTJOIN("_",TRUE,Table_textAnnotations[[#This Row],[Buch_Key]],Table_textAnnotations[[#This Row],[Anno_Key]],IF(ISBLANK(Table_textAnnotations[[#This Row],[Anno_Page_manuell]]),Table_textAnnotations[[#This Row],[Anno_Page_Auto]],Table_textAnnotations[[#This Row],[Anno_Page_manuell]]))&amp; ".txt"</f>
        <v>4U5ZMJID_BHJE3JTH_56.txt</v>
      </c>
    </row>
    <row r="241" spans="1:12" ht="30" x14ac:dyDescent="0.25">
      <c r="A241" t="s">
        <v>686</v>
      </c>
      <c r="B241" t="s">
        <v>687</v>
      </c>
      <c r="C241">
        <v>1999</v>
      </c>
      <c r="D241" t="s">
        <v>737</v>
      </c>
      <c r="E241" t="s">
        <v>409</v>
      </c>
      <c r="G241" t="s">
        <v>738</v>
      </c>
      <c r="H241" s="1" t="str">
        <f>_xlfn.TEXTJOIN(CHAR(10),FALSE, _xlfn.TEXTSPLIT(Table_textAnnotations[[#This Row],[Anno_Text]], "ABSATZ"))</f>
        <v>STIMULIEREN SIE IHRE PARTNERIN Die Klitoris ist zart und empfindlich. Indirekter Druck ist meist angenehmer als  direkter Druck.</v>
      </c>
      <c r="I241" s="1" t="s">
        <v>1403</v>
      </c>
      <c r="J241" s="2" t="b">
        <v>1</v>
      </c>
      <c r="L241" t="str">
        <f>_xlfn.TEXTJOIN("_",TRUE,Table_textAnnotations[[#This Row],[Buch_Key]],Table_textAnnotations[[#This Row],[Anno_Key]],IF(ISBLANK(Table_textAnnotations[[#This Row],[Anno_Page_manuell]]),Table_textAnnotations[[#This Row],[Anno_Page_Auto]],Table_textAnnotations[[#This Row],[Anno_Page_manuell]]))&amp; ".txt"</f>
        <v>4U5ZMJID_69JNNXBQ_56.txt</v>
      </c>
    </row>
    <row r="242" spans="1:12" ht="45" x14ac:dyDescent="0.25">
      <c r="A242" t="s">
        <v>686</v>
      </c>
      <c r="B242" t="s">
        <v>687</v>
      </c>
      <c r="C242">
        <v>1999</v>
      </c>
      <c r="D242" t="s">
        <v>739</v>
      </c>
      <c r="E242" t="s">
        <v>409</v>
      </c>
      <c r="G242" t="s">
        <v>740</v>
      </c>
      <c r="H242" s="1" t="str">
        <f>_xlfn.TEXTJOIN(CHAR(10),FALSE, _xlfn.TEXTSPLIT(Table_textAnnotations[[#This Row],[Anno_Text]], "ABSATZ"))</f>
        <v>Ziehen Sie dann die Hand hinauf, sodass der Handballen oben an der Vulva  über der Klitoris liegt und zum Teil auf  dem Schambein ruht, wo Sie beim Reiben fester drücken können.  Sie können auch die Handfläche auf  den Venushügel legen und sanft drücken. Die Finger liegen über der Klitoris und  bewegen sich kräftig und kreisförmig.</v>
      </c>
      <c r="I242" s="1" t="s">
        <v>740</v>
      </c>
      <c r="J242" s="2" t="b">
        <v>0</v>
      </c>
      <c r="L242" t="str">
        <f>_xlfn.TEXTJOIN("_",TRUE,Table_textAnnotations[[#This Row],[Buch_Key]],Table_textAnnotations[[#This Row],[Anno_Key]],IF(ISBLANK(Table_textAnnotations[[#This Row],[Anno_Page_manuell]]),Table_textAnnotations[[#This Row],[Anno_Page_Auto]],Table_textAnnotations[[#This Row],[Anno_Page_manuell]]))&amp; ".txt"</f>
        <v>4U5ZMJID_D5IWH3YR_56.txt</v>
      </c>
    </row>
    <row r="243" spans="1:12" ht="45" x14ac:dyDescent="0.25">
      <c r="A243" t="s">
        <v>686</v>
      </c>
      <c r="B243" t="s">
        <v>687</v>
      </c>
      <c r="C243">
        <v>1999</v>
      </c>
      <c r="D243" t="s">
        <v>741</v>
      </c>
      <c r="E243" t="s">
        <v>409</v>
      </c>
      <c r="G243" t="s">
        <v>742</v>
      </c>
      <c r="H243" s="1" t="str">
        <f>_xlfn.TEXTJOIN(CHAR(10),FALSE, _xlfn.TEXTSPLIT(Table_textAnnotations[[#This Row],[Anno_Text]], "ABSATZ"))</f>
        <v>Oderlegen Siedie gewölbteHand auf  die Vulva und lassen Sie sie rasch vibrieren, während die Finger auf der Klitoris  hin und her gleiten. Halten Sie die Hand  dann still, legen Sie einen Finger an beide Seiten der kleinen Labien und bewegen  Sie die Finger vibrierend hin und her.  Drücken Sie die Finger kräftig durch die fleischigen Falten und reiben Sie beide  Seiten der Labia minora an der Basis der  Klitoris.</v>
      </c>
      <c r="I243" s="1" t="s">
        <v>742</v>
      </c>
      <c r="J243" s="2" t="b">
        <v>0</v>
      </c>
      <c r="L243" t="str">
        <f>_xlfn.TEXTJOIN("_",TRUE,Table_textAnnotations[[#This Row],[Buch_Key]],Table_textAnnotations[[#This Row],[Anno_Key]],IF(ISBLANK(Table_textAnnotations[[#This Row],[Anno_Page_manuell]]),Table_textAnnotations[[#This Row],[Anno_Page_Auto]],Table_textAnnotations[[#This Row],[Anno_Page_manuell]]))&amp; ".txt"</f>
        <v>4U5ZMJID_YD2YRW95_56.txt</v>
      </c>
    </row>
    <row r="244" spans="1:12" ht="60" x14ac:dyDescent="0.25">
      <c r="A244" t="s">
        <v>686</v>
      </c>
      <c r="B244" t="s">
        <v>687</v>
      </c>
      <c r="C244">
        <v>1999</v>
      </c>
      <c r="D244" t="s">
        <v>743</v>
      </c>
      <c r="E244" t="s">
        <v>409</v>
      </c>
      <c r="G244" t="s">
        <v>744</v>
      </c>
      <c r="H244" s="1" t="str">
        <f>_xlfn.TEXTJOIN(CHAR(10),FALSE, _xlfn.TEXTSPLIT(Table_textAnnotations[[#This Row],[Anno_Text]], "ABSATZ"))</f>
        <v>Die meisten Frauen haben es gern,  wenn ein Finger in die Vagina eindringt,  während die Klitoris stimuliert wird.  Führen Sie den Mittelfinger (mit kurzem Nagel) in die Scheide ein und krümmen  Sie die anderen Finger, sodass die Knöchel weiter gegen die Klitoris drücken.  Sie können den Finger sanft vor und zurück schieben und Druck auf die vordere Scheidenwand ausüben; oder reiben  Sie die Klitoris mit der Eichel des Penis.</v>
      </c>
      <c r="I244" s="1" t="s">
        <v>744</v>
      </c>
      <c r="J244" s="2" t="b">
        <v>1</v>
      </c>
      <c r="L244" t="str">
        <f>_xlfn.TEXTJOIN("_",TRUE,Table_textAnnotations[[#This Row],[Buch_Key]],Table_textAnnotations[[#This Row],[Anno_Key]],IF(ISBLANK(Table_textAnnotations[[#This Row],[Anno_Page_manuell]]),Table_textAnnotations[[#This Row],[Anno_Page_Auto]],Table_textAnnotations[[#This Row],[Anno_Page_manuell]]))&amp; ".txt"</f>
        <v>4U5ZMJID_NNGJCTYY_56.txt</v>
      </c>
    </row>
    <row r="245" spans="1:12" ht="30" x14ac:dyDescent="0.25">
      <c r="A245" t="s">
        <v>686</v>
      </c>
      <c r="B245" t="s">
        <v>687</v>
      </c>
      <c r="C245">
        <v>1999</v>
      </c>
      <c r="D245" t="s">
        <v>745</v>
      </c>
      <c r="E245" t="s">
        <v>638</v>
      </c>
      <c r="G245" t="s">
        <v>746</v>
      </c>
      <c r="H245" s="1" t="str">
        <f>_xlfn.TEXTJOIN(CHAR(10),FALSE, _xlfn.TEXTSPLIT(Table_textAnnotations[[#This Row],[Anno_Text]], "ABSATZ"))</f>
        <v>Vibratoren werden meist benutzt, um die Klitoris zu  stimulieren, und sie können sehr hilfreich sein, wenn eine Frau beim Koitus schwer zum Orgasmus kommt.  Der Vibrator stimuliert Millionen von Nervenenden in der Haut der  Labien und der Klitoris.</v>
      </c>
      <c r="I245" s="1" t="s">
        <v>746</v>
      </c>
      <c r="J245" s="2" t="b">
        <v>1</v>
      </c>
      <c r="L245" t="str">
        <f>_xlfn.TEXTJOIN("_",TRUE,Table_textAnnotations[[#This Row],[Buch_Key]],Table_textAnnotations[[#This Row],[Anno_Key]],IF(ISBLANK(Table_textAnnotations[[#This Row],[Anno_Page_manuell]]),Table_textAnnotations[[#This Row],[Anno_Page_Auto]],Table_textAnnotations[[#This Row],[Anno_Page_manuell]]))&amp; ".txt"</f>
        <v>4U5ZMJID_B6PGHEF3_59.txt</v>
      </c>
    </row>
    <row r="246" spans="1:12" ht="45" x14ac:dyDescent="0.25">
      <c r="A246" t="s">
        <v>686</v>
      </c>
      <c r="B246" t="s">
        <v>687</v>
      </c>
      <c r="C246">
        <v>1999</v>
      </c>
      <c r="D246" t="s">
        <v>747</v>
      </c>
      <c r="E246" t="s">
        <v>638</v>
      </c>
      <c r="G246" t="s">
        <v>748</v>
      </c>
      <c r="H246" s="1" t="str">
        <f>_xlfn.TEXTJOIN(CHAR(10),FALSE, _xlfn.TEXTSPLIT(Table_textAnnotations[[#This Row],[Anno_Text]], "ABSATZ"))</f>
        <v>Während des Koitus drückt der Penis gegen Labien und Klitoris und knipst sozusagen Millionen winzige Schalter an, die elektrische Impulse  zum Gehirn senden. Je mehr Sensoren er stimuliert, desto stärker ist das  Lustgefühl. Traurig, aber wahr: Der Vibrator ist besser als viele Penisse;  denn er erreicht mindestens eine Million mehr Sensoren als das geschickteste Glied und garantiert einen Orgasmus.</v>
      </c>
      <c r="I246" s="1" t="s">
        <v>748</v>
      </c>
      <c r="J246" s="2" t="b">
        <v>1</v>
      </c>
      <c r="L246" t="str">
        <f>_xlfn.TEXTJOIN("_",TRUE,Table_textAnnotations[[#This Row],[Buch_Key]],Table_textAnnotations[[#This Row],[Anno_Key]],IF(ISBLANK(Table_textAnnotations[[#This Row],[Anno_Page_manuell]]),Table_textAnnotations[[#This Row],[Anno_Page_Auto]],Table_textAnnotations[[#This Row],[Anno_Page_manuell]]))&amp; ".txt"</f>
        <v>4U5ZMJID_87PXHGGA_59.txt</v>
      </c>
    </row>
    <row r="247" spans="1:12" ht="30" x14ac:dyDescent="0.25">
      <c r="A247" t="s">
        <v>686</v>
      </c>
      <c r="B247" t="s">
        <v>687</v>
      </c>
      <c r="C247">
        <v>1999</v>
      </c>
      <c r="D247" t="s">
        <v>749</v>
      </c>
      <c r="E247" t="s">
        <v>638</v>
      </c>
      <c r="G247" t="s">
        <v>750</v>
      </c>
      <c r="H247" s="1" t="str">
        <f>_xlfn.TEXTJOIN(CHAR(10),FALSE, _xlfn.TEXTSPLIT(Table_textAnnotations[[#This Row],[Anno_Text]], "ABSATZ"))</f>
        <v>Denken Sie daran, dass die Erektion der Klitoris und  die Produktion des Scheidensekrets lediglich Reflexe sind genau wie  die Erektion des Penis und nicht immer unsere Gefühle genau widerspiegeln.</v>
      </c>
      <c r="I247" s="1" t="s">
        <v>750</v>
      </c>
      <c r="J247" s="2" t="b">
        <v>1</v>
      </c>
      <c r="L247" t="str">
        <f>_xlfn.TEXTJOIN("_",TRUE,Table_textAnnotations[[#This Row],[Buch_Key]],Table_textAnnotations[[#This Row],[Anno_Key]],IF(ISBLANK(Table_textAnnotations[[#This Row],[Anno_Page_manuell]]),Table_textAnnotations[[#This Row],[Anno_Page_Auto]],Table_textAnnotations[[#This Row],[Anno_Page_manuell]]))&amp; ".txt"</f>
        <v>4U5ZMJID_MDBVFBEU_59.txt</v>
      </c>
    </row>
    <row r="248" spans="1:12" ht="30" x14ac:dyDescent="0.25">
      <c r="A248" t="s">
        <v>686</v>
      </c>
      <c r="B248" t="s">
        <v>687</v>
      </c>
      <c r="C248">
        <v>1999</v>
      </c>
      <c r="D248" t="s">
        <v>751</v>
      </c>
      <c r="E248" t="s">
        <v>417</v>
      </c>
      <c r="F248">
        <v>75</v>
      </c>
      <c r="G248" t="s">
        <v>752</v>
      </c>
      <c r="H248" s="1" t="str">
        <f>_xlfn.TEXTJOIN(CHAR(10),FALSE, _xlfn.TEXTSPLIT(Table_textAnnotations[[#This Row],[Anno_Text]], "ABSATZ"))</f>
        <v>SO SUCHT DER MANN  EINE POSITION  • Erlaubt sie ein tiefes Eindringen?  • Kann ich die Vulva meiner Partnerin  gut sehen? • Kann ich ihre Klitoris gut erreichen?</v>
      </c>
      <c r="I248" s="1" t="s">
        <v>752</v>
      </c>
      <c r="J248" s="2" t="b">
        <v>0</v>
      </c>
      <c r="L248" t="str">
        <f>_xlfn.TEXTJOIN("_",TRUE,Table_textAnnotations[[#This Row],[Buch_Key]],Table_textAnnotations[[#This Row],[Anno_Key]],IF(ISBLANK(Table_textAnnotations[[#This Row],[Anno_Page_manuell]]),Table_textAnnotations[[#This Row],[Anno_Page_Auto]],Table_textAnnotations[[#This Row],[Anno_Page_manuell]]))&amp; ".txt"</f>
        <v>4U5ZMJID_SF3EW98C_75.txt</v>
      </c>
    </row>
    <row r="249" spans="1:12" ht="30" x14ac:dyDescent="0.25">
      <c r="A249" t="s">
        <v>686</v>
      </c>
      <c r="B249" t="s">
        <v>687</v>
      </c>
      <c r="C249">
        <v>1999</v>
      </c>
      <c r="D249" t="s">
        <v>753</v>
      </c>
      <c r="E249" t="s">
        <v>417</v>
      </c>
      <c r="F249">
        <v>75</v>
      </c>
      <c r="G249" t="s">
        <v>754</v>
      </c>
      <c r="H249" s="1" t="str">
        <f>_xlfn.TEXTJOIN(CHAR(10),FALSE, _xlfn.TEXTSPLIT(Table_textAnnotations[[#This Row],[Anno_Text]], "ABSATZ"))</f>
        <v>SO SUCHT DIE FRAU EINE  POSITION  • Kann ich mich so bewegen, dass die  Stimulation ausreicht?  • Kann ich meinen Partner sehen?  • Ist sie in den letzten Schwangerschaftsmonaten bequem?  • Ist die Klitoris gut erreichbar?</v>
      </c>
      <c r="I249" s="1" t="s">
        <v>754</v>
      </c>
      <c r="J249" s="2" t="b">
        <v>0</v>
      </c>
      <c r="L249" t="str">
        <f>_xlfn.TEXTJOIN("_",TRUE,Table_textAnnotations[[#This Row],[Buch_Key]],Table_textAnnotations[[#This Row],[Anno_Key]],IF(ISBLANK(Table_textAnnotations[[#This Row],[Anno_Page_manuell]]),Table_textAnnotations[[#This Row],[Anno_Page_Auto]],Table_textAnnotations[[#This Row],[Anno_Page_manuell]]))&amp; ".txt"</f>
        <v>4U5ZMJID_JDM9HHKV_75.txt</v>
      </c>
    </row>
    <row r="250" spans="1:12" ht="30" x14ac:dyDescent="0.25">
      <c r="A250" t="s">
        <v>686</v>
      </c>
      <c r="B250" t="s">
        <v>687</v>
      </c>
      <c r="C250">
        <v>1999</v>
      </c>
      <c r="D250" t="s">
        <v>755</v>
      </c>
      <c r="E250" t="s">
        <v>486</v>
      </c>
      <c r="F250">
        <v>85</v>
      </c>
      <c r="G250" t="s">
        <v>756</v>
      </c>
      <c r="H250" s="1" t="str">
        <f>_xlfn.TEXTJOIN(CHAR(10),FALSE, _xlfn.TEXTSPLIT(Table_textAnnotations[[#This Row],[Anno_Text]], "ABSATZ"))</f>
        <v>FRAU  Sex im Stehen ist sinnvoll,  wenn die Zeit und der Platz begrenzt sind und wenn sie Abwechslungschätzt. Siekann  die kleinen Labien und die  Klitoris intensiv stimulieren,  indem sie sich etwas nach vorne lehnt, die Knie beugt und  die Füße auf den Boden stellt.</v>
      </c>
      <c r="I250" s="1" t="s">
        <v>756</v>
      </c>
      <c r="J250" s="2" t="b">
        <v>0</v>
      </c>
      <c r="L250" t="str">
        <f>_xlfn.TEXTJOIN("_",TRUE,Table_textAnnotations[[#This Row],[Buch_Key]],Table_textAnnotations[[#This Row],[Anno_Key]],IF(ISBLANK(Table_textAnnotations[[#This Row],[Anno_Page_manuell]]),Table_textAnnotations[[#This Row],[Anno_Page_Auto]],Table_textAnnotations[[#This Row],[Anno_Page_manuell]]))&amp; ".txt"</f>
        <v>4U5ZMJID_9J2P7EVM_85.txt</v>
      </c>
    </row>
    <row r="251" spans="1:12" ht="60" x14ac:dyDescent="0.25">
      <c r="A251" t="s">
        <v>686</v>
      </c>
      <c r="B251" t="s">
        <v>687</v>
      </c>
      <c r="C251">
        <v>1999</v>
      </c>
      <c r="D251" t="s">
        <v>757</v>
      </c>
      <c r="E251" t="s">
        <v>92</v>
      </c>
      <c r="F251">
        <v>87</v>
      </c>
      <c r="G251" t="s">
        <v>758</v>
      </c>
      <c r="H251" s="1" t="str">
        <f>_xlfn.TEXTJOIN(CHAR(10),FALSE, _xlfn.TEXTSPLIT(Table_textAnnotations[[#This Row],[Anno_Text]], "ABSATZ"))</f>
        <v>[Kontext: "Die Seitenlage 1", U.a. Löffelchenstellung]
MANN Diese Stellung erlaubt tiefes Eindringen und optimalen Körperkontakt. Er kann Bauch, Brüste, Vulva, Klitoris, Hals und Rücken der Partnerin gut erreichen.</v>
      </c>
      <c r="I251" s="1" t="s">
        <v>1377</v>
      </c>
      <c r="J251" s="2" t="b">
        <v>0</v>
      </c>
      <c r="L251" t="str">
        <f>_xlfn.TEXTJOIN("_",TRUE,Table_textAnnotations[[#This Row],[Buch_Key]],Table_textAnnotations[[#This Row],[Anno_Key]],IF(ISBLANK(Table_textAnnotations[[#This Row],[Anno_Page_manuell]]),Table_textAnnotations[[#This Row],[Anno_Page_Auto]],Table_textAnnotations[[#This Row],[Anno_Page_manuell]]))&amp; ".txt"</f>
        <v>4U5ZMJID_L83BXBLN_87.txt</v>
      </c>
    </row>
    <row r="252" spans="1:12" ht="45" x14ac:dyDescent="0.25">
      <c r="A252" t="s">
        <v>686</v>
      </c>
      <c r="B252" t="s">
        <v>687</v>
      </c>
      <c r="C252">
        <v>1999</v>
      </c>
      <c r="D252" t="s">
        <v>759</v>
      </c>
      <c r="E252" t="s">
        <v>381</v>
      </c>
      <c r="F252">
        <v>88</v>
      </c>
      <c r="G252" t="s">
        <v>760</v>
      </c>
      <c r="H252" s="1" t="str">
        <f>_xlfn.TEXTJOIN(CHAR(10),FALSE, _xlfn.TEXTSPLIT(Table_textAnnotations[[#This Row],[Anno_Text]], "ABSATZ"))</f>
        <v>DIE SEITENLAGE 2  Etwas andere Bewegungen können in der Seitenlage viele neue Empfindungen hervorrufen. Wenn die Frau sich auf den Rücken dreht, öffnet  die Vulva sich weit und die Klitoris ist für sie und den Partner gut erreichbar. Angezogene Beine erleichtern das Eindringen.  Wenn der Mann die Stellung der Beine und Schen</v>
      </c>
      <c r="I252" s="1" t="s">
        <v>760</v>
      </c>
      <c r="J252" s="2" t="b">
        <v>0</v>
      </c>
      <c r="L252" t="str">
        <f>_xlfn.TEXTJOIN("_",TRUE,Table_textAnnotations[[#This Row],[Buch_Key]],Table_textAnnotations[[#This Row],[Anno_Key]],IF(ISBLANK(Table_textAnnotations[[#This Row],[Anno_Page_manuell]]),Table_textAnnotations[[#This Row],[Anno_Page_Auto]],Table_textAnnotations[[#This Row],[Anno_Page_manuell]]))&amp; ".txt"</f>
        <v>4U5ZMJID_J6ZNPM7L_88.txt</v>
      </c>
    </row>
    <row r="253" spans="1:12" ht="45" x14ac:dyDescent="0.25">
      <c r="A253" t="s">
        <v>761</v>
      </c>
      <c r="B253" t="s">
        <v>762</v>
      </c>
      <c r="C253">
        <v>2000</v>
      </c>
      <c r="D253" t="s">
        <v>763</v>
      </c>
      <c r="E253" t="s">
        <v>98</v>
      </c>
      <c r="G253" t="s">
        <v>764</v>
      </c>
      <c r="H253" s="1" t="str">
        <f>_xlfn.TEXTJOIN(CHAR(10),FALSE, _xlfn.TEXTSPLIT(Table_textAnnotations[[#This Row],[Anno_Text]], "ABSATZ"))</f>
        <v>Die äußeren Genitalien  beginnen bei beiden Geschlechtern als ein undifferenzierter Genitalhöcker, ein Gewebeknötchen, an dem sich nach unten hin ein  kleiner, von einer Membran abgeschirmter Schlitz anschließt. Ab  dem dritten Monat wächst das Fleischknötchen entweder zu einer  anmutigen Klitoris oder aber zur ausgeprägteren Gestalt einer Peniseichel heran.</v>
      </c>
      <c r="I253" s="1" t="s">
        <v>764</v>
      </c>
      <c r="J253" s="2" t="b">
        <v>1</v>
      </c>
      <c r="L253" t="str">
        <f>_xlfn.TEXTJOIN("_",TRUE,Table_textAnnotations[[#This Row],[Buch_Key]],Table_textAnnotations[[#This Row],[Anno_Key]],IF(ISBLANK(Table_textAnnotations[[#This Row],[Anno_Page_manuell]]),Table_textAnnotations[[#This Row],[Anno_Page_Auto]],Table_textAnnotations[[#This Row],[Anno_Page_manuell]]))&amp; ".txt"</f>
        <v>6N73PCNZ_TBU9ZY4K_78.txt</v>
      </c>
    </row>
    <row r="254" spans="1:12" ht="150" x14ac:dyDescent="0.25">
      <c r="A254" t="s">
        <v>761</v>
      </c>
      <c r="B254" t="s">
        <v>762</v>
      </c>
      <c r="C254">
        <v>2000</v>
      </c>
      <c r="D254" t="s">
        <v>765</v>
      </c>
      <c r="E254" t="s">
        <v>432</v>
      </c>
      <c r="G254" t="s">
        <v>766</v>
      </c>
      <c r="H254" s="1" t="str">
        <f>_xlfn.TEXTJOIN(CHAR(10),FALSE, _xlfn.TEXTSPLIT(Table_textAnnotations[[#This Row],[Anno_Text]], "ABSATZ"))</f>
        <v>Als ich noch ein Säugling war, wurde meine Mutter einmal von  einer Freundin gebeten, für ein paar Stunden auf ihr Töchterchen,  das ich Susan nennen werde, aufzupassen. Meine Mutter hatte außer meiner neu geborenen Wenigkeit noch eine ältere Tochter, und  so glaubte sie (nicht ohne eine gewisse Berechtigung) schon zu  wissen, wie die Geschlechtsteile eines weiblichen Babys aussehen.  Dementsprechend verblüfft war sie, die Klitoris der Kleinen deutlich zwischen den länglichen Wülsten ihrer Schamlippen hervorlugen zu sehen, als sie Susan die Windeln wechselte. Die Klitoris  sah zwar nicht direkt wie ein Penis aus meine Mutter hatte einen  Sohn und wusste, was sie in der Hinsicht erwarten durfte -, aber  direkt mädchenhaft wirkte sie auch nicht. Sie sah wie eine Nasenspitze aus oder wie das letzte Glied eines kleinen Fingers, und als  meine Mutter sie mit einem Tuch abwischte, wurde sie zu meiner  Mutter befangener Belustigung ein bisschen steif. Meine Mutter  war von der äußeren Erscheinung von Susans hervorstehender,  aufblasbarer Klitoris nicht sonderlich angetan. Sie dachte an ihre  eigenen Töchter und daran, um wie viel lieber ihr deren Genitalien waren: so säuberlich verschlossen, die Klitoris in der speckigen Vulva gut aufgehoben, wobei jede mögliche Berührungsempfindlichkeit den Blicken entzogen blieb.</v>
      </c>
      <c r="I254" s="1" t="s">
        <v>766</v>
      </c>
      <c r="J254" s="2" t="b">
        <v>0</v>
      </c>
      <c r="L254" t="str">
        <f>_xlfn.TEXTJOIN("_",TRUE,Table_textAnnotations[[#This Row],[Buch_Key]],Table_textAnnotations[[#This Row],[Anno_Key]],IF(ISBLANK(Table_textAnnotations[[#This Row],[Anno_Page_manuell]]),Table_textAnnotations[[#This Row],[Anno_Page_Auto]],Table_textAnnotations[[#This Row],[Anno_Page_manuell]]))&amp; ".txt"</f>
        <v>6N73PCNZ_RKSEIX9P_92.txt</v>
      </c>
    </row>
    <row r="255" spans="1:12" ht="90" x14ac:dyDescent="0.25">
      <c r="A255" t="s">
        <v>761</v>
      </c>
      <c r="B255" t="s">
        <v>762</v>
      </c>
      <c r="C255">
        <v>2000</v>
      </c>
      <c r="D255" t="s">
        <v>767</v>
      </c>
      <c r="E255" t="s">
        <v>435</v>
      </c>
      <c r="G255" t="s">
        <v>768</v>
      </c>
      <c r="H255" s="1" t="str">
        <f>_xlfn.TEXTJOIN(CHAR(10),FALSE, _xlfn.TEXTSPLIT(Table_textAnnotations[[#This Row],[Anno_Text]], "ABSATZ"))</f>
        <v>Frauen glauben vielleicht, ihre Klitoris ziemlich gut zu kennen.  Sie betrachten sie als eine alte Freundin. Sie meinen vielleicht sogar, es gebe irgendwo da oben eine Göttin dieses Namens: Unsere  Liebe Frau von der Immerwährenden Ekstase. Freuds Penisneid  haben sie nie geschluckt. Warum sollten sie sich eine Schrotflinte  wünschen, wenn sie eine handliche Halbautomatik haben können? Aber frage eine beliebige Frau, wie groß ihre Klitoris ist oder  wie groß die durchschnittliche Klitoris ist oder ob es diesbezüglich überhaupt irgendwelche individuellen Unterschiede gibt, und  du kannst so gut wie sicher sein, dass sie nicht einmal wissen wird,  wo sie die Messlatte anlegen oder welche Maßeinheit sie überhaupt verwenden soll.</v>
      </c>
      <c r="I255" s="1" t="s">
        <v>768</v>
      </c>
      <c r="J255" s="2" t="b">
        <v>0</v>
      </c>
      <c r="L255" t="str">
        <f>_xlfn.TEXTJOIN("_",TRUE,Table_textAnnotations[[#This Row],[Buch_Key]],Table_textAnnotations[[#This Row],[Anno_Key]],IF(ISBLANK(Table_textAnnotations[[#This Row],[Anno_Page_manuell]]),Table_textAnnotations[[#This Row],[Anno_Page_Auto]],Table_textAnnotations[[#This Row],[Anno_Page_manuell]]))&amp; ".txt"</f>
        <v>6N73PCNZ_PA4IEDET_93.txt</v>
      </c>
    </row>
    <row r="256" spans="1:12" ht="75" x14ac:dyDescent="0.25">
      <c r="A256" t="s">
        <v>761</v>
      </c>
      <c r="B256" t="s">
        <v>762</v>
      </c>
      <c r="C256">
        <v>2000</v>
      </c>
      <c r="D256" t="s">
        <v>769</v>
      </c>
      <c r="E256" t="s">
        <v>435</v>
      </c>
      <c r="G256" t="s">
        <v>770</v>
      </c>
      <c r="H256" s="1" t="str">
        <f>_xlfn.TEXTJOIN(CHAR(10),FALSE, _xlfn.TEXTSPLIT(Table_textAnnotations[[#This Row],[Anno_Text]], "ABSATZ"))</f>
        <v>Aber spielt denn die Größe der Klitoris für uns Frauen eine Rolle? Das Mädchen, das ich Susan genannt habe, ist jetzt ungefähr in meinem Alter. Angenommen,  Susan hat noch ihre überformatige Klitoris - und wie wir weiter  unten sehen werden, ist das keineswegs so sicher -, ist sie jetzt eine  Super-Orgasmikerin, der schon die leiseste Berührung Schauder der Wollust bereitet? Ist sie die unumschränkte Herrin ihres eigenen Pläsiers, wie unzulänglich ihr Partner auch sei? Oder ist die  Masse auch hier unmaßgeblich – und ist es eine ganz andere Dimension der Klitoris, die uns den bewussten Kick verschafft?</v>
      </c>
      <c r="I256" s="1" t="s">
        <v>770</v>
      </c>
      <c r="J256" s="2" t="b">
        <v>0</v>
      </c>
      <c r="L256" t="str">
        <f>_xlfn.TEXTJOIN("_",TRUE,Table_textAnnotations[[#This Row],[Buch_Key]],Table_textAnnotations[[#This Row],[Anno_Key]],IF(ISBLANK(Table_textAnnotations[[#This Row],[Anno_Page_manuell]]),Table_textAnnotations[[#This Row],[Anno_Page_Auto]],Table_textAnnotations[[#This Row],[Anno_Page_manuell]]))&amp; ".txt"</f>
        <v>6N73PCNZ_BSCNQIGG_93.txt</v>
      </c>
    </row>
    <row r="257" spans="1:12" ht="195" x14ac:dyDescent="0.25">
      <c r="A257" t="s">
        <v>761</v>
      </c>
      <c r="B257" t="s">
        <v>762</v>
      </c>
      <c r="C257">
        <v>2000</v>
      </c>
      <c r="D257" t="s">
        <v>771</v>
      </c>
      <c r="E257" t="s">
        <v>435</v>
      </c>
      <c r="G257" t="s">
        <v>772</v>
      </c>
      <c r="H257" s="1" t="str">
        <f>_xlfn.TEXTJOIN(CHAR(10),FALSE, _xlfn.TEXTSPLIT(Table_textAnnotations[[#This Row],[Anno_Text]], "ABSATZ"))</f>
        <v>Die Klitoris wird gewöhnlich als die weibliche Entsprechung  des Penis bezeichnet, und embryogenetisch betrachtet trifft dies  auch zweifellos zu. Sie entwickelt sich aus dem gleichen Bereich  des Geschlechtshügels, dem » Glansgebiet«&lt;, wie bei Jungen die Peniseichel. Aber die Parallele ist nicht hundertprozentig exakt. Natürlich pinkelt oder ejakuliert eine Frau nicht durch ihre Klitoris.  Sie fängt überhaupt nichts Praktisches mit ihr an. Anders als der  93 Penis ist die Klitoris keine Umkleidung der Harnröhre, sondern  schlicht und einfach ein Bündel von Nerven: 8000 Nervenfasern,  um genau zu sein. Das ist eine so hohe Konzentration von Nervenfasern, wie wir sie nirgendwo sonst im Körper antreffen, Fingerspitzen, Lippen und Zunge eingeschlossen, und sie ist doppelt  so hoch wie im Penis. In diesem Sinne also ist das »kleine Gehirn&lt;&lt;  der Frau größer als dasjenige des Mannes. Und das Ganze dient  keinem höheren Zweck, als der Frau Lustgefühle zu verschaffen.  Einzig in der Klitoris sehen wir ein Geschlechtsorgan, das so ausschließlich seiner Funktion und Aufgabe geweiht ist, dass es keines Mondlichts als eines zusätzlichen sekretions- oder exkretionsanregenden Hilfsmittels bedarf. Aus diesem Grund ist es vielleicht  wirklich klug eingerichtet, dass die Klitoris normalerweise in der  Schamspalte verborgen bleibt. Sie ist gewissermaßen ein privater Scherz, ein göttliches Geheimnis, eine Büchse der Pandora, die  nicht ein einziges Übel enthält, dafür randvoll mit Freude gefüllt  ist.  Die Füllung ist gekonnt verstaut, und so ist die Klitoris recht  klein und am besten in Millimetern zu messen. Ihre fetale Entwicklung ist in der 27. Gestationswoche abgeschlossen. Dann  sieht sie bereits so wie an der Neugeborenen aus.</v>
      </c>
      <c r="I257" s="1" t="s">
        <v>1446</v>
      </c>
      <c r="J257" s="2" t="b">
        <v>1</v>
      </c>
      <c r="L257" t="str">
        <f>_xlfn.TEXTJOIN("_",TRUE,Table_textAnnotations[[#This Row],[Buch_Key]],Table_textAnnotations[[#This Row],[Anno_Key]],IF(ISBLANK(Table_textAnnotations[[#This Row],[Anno_Page_manuell]]),Table_textAnnotations[[#This Row],[Anno_Page_Auto]],Table_textAnnotations[[#This Row],[Anno_Page_manuell]]))&amp; ".txt"</f>
        <v>6N73PCNZ_PUQ7EI7U_93.txt</v>
      </c>
    </row>
    <row r="258" spans="1:12" ht="135" x14ac:dyDescent="0.25">
      <c r="A258" t="s">
        <v>761</v>
      </c>
      <c r="B258" t="s">
        <v>762</v>
      </c>
      <c r="C258">
        <v>2000</v>
      </c>
      <c r="D258" t="s">
        <v>773</v>
      </c>
      <c r="E258" t="s">
        <v>774</v>
      </c>
      <c r="G258" t="s">
        <v>775</v>
      </c>
      <c r="H258" s="1" t="str">
        <f>_xlfn.TEXTJOIN(CHAR(10),FALSE, _xlfn.TEXTSPLIT(Table_textAnnotations[[#This Row],[Anno_Text]], "ABSATZ"))</f>
        <v>Wie die klassische griechische Säule ist die Klitoris ein zylindrisches Gebilde, an  dem sich drei Elemente unterscheiden lassen: Basis, Schaft und  Kapitell (oder »Köpfchen«). Aber sie ist eine Säule für Archäologen, denn ihre zwei unteren Elemente sind weitgehend verborgen,  unter der Haut der Vulva vergraben. Der Teil, den du am leichtesten sehen kannst, wenn du die Vulva öffnest, ist die Glans clitoridis, die Entsprechung des Säulenkapitells. Die Glans sitzt stolz,  vielleicht ein bisschen selbstgefällig, unter ihrem zeltförmigen  Dach: eine Kapuze, die durch die Vereinigung der inneren Schamlippen gebildet wird. Glans bedeutet »Eichel«&lt; (und clitoridis ist  schlicht der Genitiv von clitoris), womit also der Kopf der Klitoris und der des Penis den gleichen Namen tragen. Und wenn du  sie dir ganz aus der Nähe anschauen könntest, würdest du feststellen, dass die Eichel deiner Klitoris tatsächlich der eines Penis  ähnelt, dass sie dieselbe zum Herzförmigen tendierende jugendstilmäßige Wulstigkeit aufweist - auch wenn sie in Ermangelung  eines Harnröhrenausgangs nicht wie ihr größerer Kollege kyklopisch zurückstarrt.</v>
      </c>
      <c r="I258" s="1" t="s">
        <v>1445</v>
      </c>
      <c r="J258" s="2" t="b">
        <v>1</v>
      </c>
      <c r="L258" t="str">
        <f>_xlfn.TEXTJOIN("_",TRUE,Table_textAnnotations[[#This Row],[Buch_Key]],Table_textAnnotations[[#This Row],[Anno_Key]],IF(ISBLANK(Table_textAnnotations[[#This Row],[Anno_Page_manuell]]),Table_textAnnotations[[#This Row],[Anno_Page_Auto]],Table_textAnnotations[[#This Row],[Anno_Page_manuell]]))&amp; ".txt"</f>
        <v>6N73PCNZ_ZJV5VGF6_94.txt</v>
      </c>
    </row>
    <row r="259" spans="1:12" ht="75" x14ac:dyDescent="0.25">
      <c r="A259" t="s">
        <v>761</v>
      </c>
      <c r="B259" t="s">
        <v>762</v>
      </c>
      <c r="C259">
        <v>2000</v>
      </c>
      <c r="D259" t="s">
        <v>776</v>
      </c>
      <c r="E259" t="s">
        <v>774</v>
      </c>
      <c r="G259" t="s">
        <v>777</v>
      </c>
      <c r="H259" s="1" t="str">
        <f>_xlfn.TEXTJOIN(CHAR(10),FALSE, _xlfn.TEXTSPLIT(Table_textAnnotations[[#This Row],[Anno_Text]], "ABSATZ"))</f>
        <v>Die Glans clitoridis sitzt auf dem Klitoris schaft; dieser ist nur teilweise sichtbar und verläuft dann, unter dem Muskelgewebe der Vulva, weiter aufwärts auf das Gelenk zu, das die zwei Äste des Schambeins verbindet: die uns schon bekannte Symphysis pubica. Der Schaft ist von einer Hülle aus fibroelastischem Gewebe umgeben, einer Art Miniatur-Neoprenanzug. Sie ist das, was der Klitoris Festigkeit und Substanz verleiht, das, was du unter der Haut tanzen fühlst, wenn du dir ein paar Minuten masturbatorischer Muße gönnst und die Wiese des Venushügels abwanderst.</v>
      </c>
      <c r="I259" s="1" t="s">
        <v>777</v>
      </c>
      <c r="J259" s="2" t="b">
        <v>1</v>
      </c>
      <c r="L259" t="str">
        <f>_xlfn.TEXTJOIN("_",TRUE,Table_textAnnotations[[#This Row],[Buch_Key]],Table_textAnnotations[[#This Row],[Anno_Key]],IF(ISBLANK(Table_textAnnotations[[#This Row],[Anno_Page_manuell]]),Table_textAnnotations[[#This Row],[Anno_Page_Auto]],Table_textAnnotations[[#This Row],[Anno_Page_manuell]]))&amp; ".txt"</f>
        <v>6N73PCNZ_KP85HPXL_94.txt</v>
      </c>
    </row>
    <row r="260" spans="1:12" ht="90" x14ac:dyDescent="0.25">
      <c r="A260" t="s">
        <v>761</v>
      </c>
      <c r="B260" t="s">
        <v>762</v>
      </c>
      <c r="C260">
        <v>2000</v>
      </c>
      <c r="D260" t="s">
        <v>778</v>
      </c>
      <c r="E260" t="s">
        <v>580</v>
      </c>
      <c r="G260" t="s">
        <v>779</v>
      </c>
      <c r="H260" s="1" t="str">
        <f>_xlfn.TEXTJOIN(CHAR(10),FALSE, _xlfn.TEXTSPLIT(Table_textAnnotations[[#This Row],[Anno_Text]], "ABSATZ"))</f>
        <v>Der Schaft geht in die zwei Crura oder Schenkel der Klitoris über, die subkutan wie die Äste einer Wünschelrute auseinander streben - nach links und rechts in Richtung  Oberschenkel und einwärts in Richtung Scheide. Die Crura verankern die Klitoris an der Schambeinfuge. Glans, Schaft, Crura:  eine dreiteilige griechische Säule, deren Ordnung je nach Stimmung wechselt von der dorisch-nüchternen Würde eines Arbeitstages über die Voluten der Jonischen sich entfaltend und  gipfelnd im extravaganten mittsommerlichen Laubwerk der Korinthischen, wo Blätter und Blumen zu Faustgröße schwellen und  das Leben trunken ist von seiner eigenen saftstrotzenden flüchtigen Ewigkeit.</v>
      </c>
      <c r="I260" s="1" t="s">
        <v>779</v>
      </c>
      <c r="J260" s="2" t="b">
        <v>1</v>
      </c>
      <c r="L260" t="str">
        <f>_xlfn.TEXTJOIN("_",TRUE,Table_textAnnotations[[#This Row],[Buch_Key]],Table_textAnnotations[[#This Row],[Anno_Key]],IF(ISBLANK(Table_textAnnotations[[#This Row],[Anno_Page_manuell]]),Table_textAnnotations[[#This Row],[Anno_Page_Auto]],Table_textAnnotations[[#This Row],[Anno_Page_manuell]]))&amp; ".txt"</f>
        <v>6N73PCNZ_RN7E5NMY_95.txt</v>
      </c>
    </row>
    <row r="261" spans="1:12" ht="105" x14ac:dyDescent="0.25">
      <c r="A261" t="s">
        <v>761</v>
      </c>
      <c r="B261" t="s">
        <v>762</v>
      </c>
      <c r="C261">
        <v>2000</v>
      </c>
      <c r="D261" t="s">
        <v>780</v>
      </c>
      <c r="E261" t="s">
        <v>580</v>
      </c>
      <c r="G261" t="s">
        <v>781</v>
      </c>
      <c r="H261" s="1" t="str">
        <f>_xlfn.TEXTJOIN(CHAR(10),FALSE, _xlfn.TEXTSPLIT(Table_textAnnotations[[#This Row],[Anno_Text]], "ABSATZ"))</f>
        <v>Aufgrund ihrer weitgehend verhüllten Beschaffenheit lässt sich  die Klitoris nur schwer messen - tatsächlich ist sie leichter zu ertasten, als zu sehen -, aber die Ärzte haben diesbezüglich ihr Bestes getan und sich alle Mühe gegeben, uns entsprechende &gt;&gt;Normwerte&lt;&lt; zu liefern. In erster Linie konzentrieren sie sich auf Kopf  und Schaft der Klitoris, da diese Elemente die eigentliche Masse  des Organs ausmachen und damit auch das Einzige sind, das dem  prüfenden Finger irgendeinen spürbaren Widerstand entgegensetzt. Die durchschnittliche Säuglingsklitoris misst von der Basis  des Schafts bis zur Spitze der Glans vier bis fünf Millimeter.  Wächst der Körper, wächst die Klitoris mit und erreicht zuletzt  eine durchschnittliche Basis-Glans-Länge von 16 Millimetern.  Doch trotz aller veröffentlichten Standardwerte befleißigt sich  die Klitoris, wie alle übrigen Körperteile auch, der anarchischsten  Abweichungen von jeglicher Norm.</v>
      </c>
      <c r="I261" s="1" t="s">
        <v>1436</v>
      </c>
      <c r="J261" s="2" t="b">
        <v>1</v>
      </c>
      <c r="L261" t="str">
        <f>_xlfn.TEXTJOIN("_",TRUE,Table_textAnnotations[[#This Row],[Buch_Key]],Table_textAnnotations[[#This Row],[Anno_Key]],IF(ISBLANK(Table_textAnnotations[[#This Row],[Anno_Page_manuell]]),Table_textAnnotations[[#This Row],[Anno_Page_Auto]],Table_textAnnotations[[#This Row],[Anno_Page_manuell]]))&amp; ".txt"</f>
        <v>6N73PCNZ_KJ4AP39E_95.txt</v>
      </c>
    </row>
    <row r="262" spans="1:12" ht="45" x14ac:dyDescent="0.25">
      <c r="A262" t="s">
        <v>761</v>
      </c>
      <c r="B262" t="s">
        <v>762</v>
      </c>
      <c r="C262">
        <v>2000</v>
      </c>
      <c r="D262" t="s">
        <v>782</v>
      </c>
      <c r="E262" t="s">
        <v>580</v>
      </c>
      <c r="G262" t="s">
        <v>783</v>
      </c>
      <c r="H262" s="1" t="str">
        <f>_xlfn.TEXTJOIN(CHAR(10),FALSE, _xlfn.TEXTSPLIT(Table_textAnnotations[[#This Row],[Anno_Text]], "ABSATZ"))</f>
        <v>Masters und Johnson stellten  fest, dass manche Frauen einen langen dünnen Schaft mit einem  zierlichen Eichelchen haben, andere eine ausladende Glans auf  einem kurzen dicken Schaft, und dass dazwischen so ziemlich  alle nur denkbaren Varia- und Kombinationen vorkommen.</v>
      </c>
      <c r="I262" s="1" t="s">
        <v>783</v>
      </c>
      <c r="J262" s="2" t="b">
        <v>1</v>
      </c>
      <c r="L262" t="str">
        <f>_xlfn.TEXTJOIN("_",TRUE,Table_textAnnotations[[#This Row],[Buch_Key]],Table_textAnnotations[[#This Row],[Anno_Key]],IF(ISBLANK(Table_textAnnotations[[#This Row],[Anno_Page_manuell]]),Table_textAnnotations[[#This Row],[Anno_Page_Auto]],Table_textAnnotations[[#This Row],[Anno_Page_manuell]]))&amp; ".txt"</f>
        <v>6N73PCNZ_UKPSE3YU_95.txt</v>
      </c>
    </row>
    <row r="263" spans="1:12" ht="75" x14ac:dyDescent="0.25">
      <c r="A263" t="s">
        <v>761</v>
      </c>
      <c r="B263" t="s">
        <v>762</v>
      </c>
      <c r="C263">
        <v>2000</v>
      </c>
      <c r="D263" t="s">
        <v>784</v>
      </c>
      <c r="E263" t="s">
        <v>580</v>
      </c>
      <c r="G263" t="s">
        <v>785</v>
      </c>
      <c r="H263" s="1" t="str">
        <f>_xlfn.TEXTJOIN(CHAR(10),FALSE, _xlfn.TEXTSPLIT(Table_textAnnotations[[#This Row],[Anno_Text]], "ABSATZ"))</f>
        <v>Ist sie erst einmal ausgewachsen, bleibt die Klitoris bis ins hohe Alter weitgehend unverändert. Wohl kann sie sich während der Schwangerschaft vergrößern - möglicherweise infolge mechanischer und vaskulärer Veränderungen -, und oft behält sie dann ihre neuen Dimensionen auch nach der Geburt bei. Aber das Erfreuliche an der Klitoris ist, dass sie nicht sonderlich auf Östrogene anspricht und sich daher auch nicht groß darum schert, ob du die Pille nimmst oder dich einer Östrogen-Substitutionstherapie unterziehst. Und sie wird nach der Menopause auch nicht atrophieren, wie dies Vulva und Scheide tun können. Sie wird immer für dich da sein.</v>
      </c>
      <c r="I263" s="1" t="s">
        <v>785</v>
      </c>
      <c r="J263" s="2" t="b">
        <v>1</v>
      </c>
      <c r="L263" t="str">
        <f>_xlfn.TEXTJOIN("_",TRUE,Table_textAnnotations[[#This Row],[Buch_Key]],Table_textAnnotations[[#This Row],[Anno_Key]],IF(ISBLANK(Table_textAnnotations[[#This Row],[Anno_Page_manuell]]),Table_textAnnotations[[#This Row],[Anno_Page_Auto]],Table_textAnnotations[[#This Row],[Anno_Page_manuell]]))&amp; ".txt"</f>
        <v>6N73PCNZ_KUBKV64D_95.txt</v>
      </c>
    </row>
    <row r="264" spans="1:12" ht="105" x14ac:dyDescent="0.25">
      <c r="A264" t="s">
        <v>761</v>
      </c>
      <c r="B264" t="s">
        <v>762</v>
      </c>
      <c r="C264">
        <v>2000</v>
      </c>
      <c r="D264" t="s">
        <v>786</v>
      </c>
      <c r="E264" t="s">
        <v>583</v>
      </c>
      <c r="G264" t="s">
        <v>787</v>
      </c>
      <c r="H264" s="1" t="str">
        <f>_xlfn.TEXTJOIN(CHAR(10),FALSE, _xlfn.TEXTSPLIT(Table_textAnnotations[[#This Row],[Anno_Text]], "ABSATZ"))</f>
        <v>Die Klitoris-Eichel ist der flammende Docht des Eros, der Ort,  an dem die 8000 Nervenfasern zu einem richtigen kleinen Gehirn zusammenlaufen. Viele Frauen haben eine so empfindliche Glans,  dass sie die direkte Berührung fast als schmerzhaft empfinden und  deswegen die kreisende Stimulierung des Schafts oder des ganzen  Venushügels vorziehen. Der Schaft ist relativ schwach innerviert,  dafür durchziehen ihn Tausende von Blutgefäßen, die ihn bei sexueller Erregung anschwellen und den Kopf immer höher recken  lassen. Zusätzliche Unterstützung erhalten die Expansionsbestrebungen der Klitoris durch die Bulbi vestibuli, zwei an der Basis  der kleinen Schamlippen gelegene Schwellkörper, die noch weiter  dazu beitragen, dass dem Orgänchen das Blut in den Kopf steigt.  Dergestalt durchblutet, bläht sich die lustentbrannte Klitoris zur  doppelten Größe ihrer ruhenden Erscheinungsform auf.</v>
      </c>
      <c r="I264" s="1" t="s">
        <v>1444</v>
      </c>
      <c r="J264" s="2" t="b">
        <v>1</v>
      </c>
      <c r="L264" t="str">
        <f>_xlfn.TEXTJOIN("_",TRUE,Table_textAnnotations[[#This Row],[Buch_Key]],Table_textAnnotations[[#This Row],[Anno_Key]],IF(ISBLANK(Table_textAnnotations[[#This Row],[Anno_Page_manuell]]),Table_textAnnotations[[#This Row],[Anno_Page_Auto]],Table_textAnnotations[[#This Row],[Anno_Page_manuell]]))&amp; ".txt"</f>
        <v>6N73PCNZ_B2EVV4RG_96.txt</v>
      </c>
    </row>
    <row r="265" spans="1:12" ht="210" x14ac:dyDescent="0.25">
      <c r="A265" t="s">
        <v>761</v>
      </c>
      <c r="B265" t="s">
        <v>762</v>
      </c>
      <c r="C265">
        <v>2000</v>
      </c>
      <c r="D265" t="s">
        <v>788</v>
      </c>
      <c r="E265" t="s">
        <v>583</v>
      </c>
      <c r="G265" t="s">
        <v>789</v>
      </c>
      <c r="H265" s="1" t="str">
        <f>_xlfn.TEXTJOIN(CHAR(10),FALSE, _xlfn.TEXTSPLIT(Table_textAnnotations[[#This Row],[Anno_Text]], "ABSATZ"))</f>
        <v>Doch auch hier [bei der Thematisierung der Erigierbarkeit der Klitoris] sollten wir die Analogie zum Penis nicht zu weit treiben. Eine erregte Klitoris ist geschwollen und elastisch, aber so fest wie ihr penetrationsfreudiges Gegenstück wird sie nicht. Das ist uns allen bewusst. Einen intakten somatosensiblen Kortex sowie eine geeignete Gelegenheit vorausgesetzt, wird jede Frau (und jeder Mann) bestätigen, dass eine erigierte Klitoris sich nicht ganz so steif wie ein Ständer anfühlt. Das Verwunderliche dabei ist, dass der Grund für den Unterschied erst in jüngster Zeit ermittelt wurde. Im Jahr 1996 berichtete ein mit der Erforschung der Mikroarchitektur des Klitorisschafts befasstes Team von italienischen Wissenschaftlern, die Klitoris besitze, den Lehrbüchern zum Trotz, keinen Plexus venosus. Dieses im Penis durchaus vorhandene »&gt;Venengeflecht«&lt; ist der Hauptabfluss, durch den das Blut das Organ wieder verlässt. Im Zustand der Erregung aber drücken Muskeln im Penisschaft diesen Plexus zusammen, was zur Folge hat, dass zwar weiterhin Blut hineingepumpt wird, aber keines wieder abfließen kann, und siehe: Er steht. Die Klitoris hingegen scheint keinen klar umrissenen, durch Druck verschließbaren Plexus aufzuweisen; die Durchblutung des Organs ist diffuser. Erwacht die Lust, steigt zwar der arterielle Zufluss, aber da der venöse Abflusshahn nicht zugedreht wird, versteift sich die Klitoris auch nicht zur Ministange. Und warum sollte sie auch? Sie hat es nicht nötig, ihre Nase in alles reinzustecken, sich überall befugt oder unbefugt - Zutritt zu verschaffen. Und es könnte durchaus sein, dass es ebendieses relativ komplexe Durchblutungsmuster ist, das es der Klitoris gestattet, sich mühelos rasch auszudehnen und wieder zu entspannen, und damit die Bedingung jener segensreichen weiblichen Gabe darstellt: des multiplen Orgasmus.</v>
      </c>
      <c r="I265" s="1" t="s">
        <v>1443</v>
      </c>
      <c r="J265" s="2" t="b">
        <v>1</v>
      </c>
      <c r="L265" t="str">
        <f>_xlfn.TEXTJOIN("_",TRUE,Table_textAnnotations[[#This Row],[Buch_Key]],Table_textAnnotations[[#This Row],[Anno_Key]],IF(ISBLANK(Table_textAnnotations[[#This Row],[Anno_Page_manuell]]),Table_textAnnotations[[#This Row],[Anno_Page_Auto]],Table_textAnnotations[[#This Row],[Anno_Page_manuell]]))&amp; ".txt"</f>
        <v>6N73PCNZ_5GYXKL9G_96.txt</v>
      </c>
    </row>
    <row r="266" spans="1:12" ht="165" x14ac:dyDescent="0.25">
      <c r="A266" t="s">
        <v>761</v>
      </c>
      <c r="B266" t="s">
        <v>762</v>
      </c>
      <c r="C266">
        <v>2000</v>
      </c>
      <c r="D266" t="s">
        <v>790</v>
      </c>
      <c r="E266" t="s">
        <v>791</v>
      </c>
      <c r="G266" t="s">
        <v>792</v>
      </c>
      <c r="H266" s="1" t="str">
        <f>_xlfn.TEXTJOIN(CHAR(10),FALSE, _xlfn.TEXTSPLIT(Table_textAnnotations[[#This Row],[Anno_Text]], "ABSATZ"))</f>
        <v>Wohl aber hissten sie, bildlich gesprochen, die Flagge der Klitoris. Sie redeten wie Forschungsreisende, die auf ein verschollenes, mythisches Land gestoßen waren den Garten Eden vielleicht, so wie Lilith ihn gekannt hatte. Selbst noch in der Neuauflage aus den neunziger Jahren heißt es in dem Buch Unser Körper, unser Leben: »Bis Mitte der sechziger Jahre wussten die meisten Frauen nichts von der überragenden Bedeutung der Klitoris.&lt;&lt; Für diese Unwissenheit wurde Freud verantwortlich gemacht, der die Theorie aufgestellt hatte, der klitorale Orgasmus sei ein »infantiler&lt;&lt;, der vaginale ein »erwachsener« Orgasmus, und erst nach Verlagerung ihres Sexualstrebens von ihrem rudimentären Phallus auf die unbestreitbar weibliche Vagina könne eine Frau wahre psychosexuelle Erfüllung finden. Doch so berechtigt die Empörung über diese Theorie auch gewesen sein mag, hat die Klitoris keineswegs zu allen Zeiten ein solches Aschenputteldasein gefristet. Ebenso wenig sind die Frauen, die in den letzten Schnaufern des 20. Jahrhunderts leben, die ersten, die über die Existenz ihres kleinen Organs gejubelt haben. Ganz im Gegenteil: Freuds blödsinnige Behauptung war die Ausnahme von der Regel, ein böser Ausrutscher, ein Schandfleck in der Geschichte des Verständnisses weiblicher Sexualität. Jahrtausendelang haben Fachleute wie Amateure gewusst, welch zentrale Rolle die Klitoris für die Lust und Orgasmusfähigkeit der Frau spielt.</v>
      </c>
      <c r="I266" s="1" t="s">
        <v>792</v>
      </c>
      <c r="J266" s="2" t="b">
        <v>0</v>
      </c>
      <c r="L266" t="str">
        <f>_xlfn.TEXTJOIN("_",TRUE,Table_textAnnotations[[#This Row],[Buch_Key]],Table_textAnnotations[[#This Row],[Anno_Key]],IF(ISBLANK(Table_textAnnotations[[#This Row],[Anno_Page_manuell]]),Table_textAnnotations[[#This Row],[Anno_Page_Auto]],Table_textAnnotations[[#This Row],[Anno_Page_manuell]]))&amp; ".txt"</f>
        <v>6N73PCNZ_CM5QD3RF_97.txt</v>
      </c>
    </row>
    <row r="267" spans="1:12" ht="150" x14ac:dyDescent="0.25">
      <c r="A267" t="s">
        <v>761</v>
      </c>
      <c r="B267" t="s">
        <v>762</v>
      </c>
      <c r="C267">
        <v>2000</v>
      </c>
      <c r="D267" t="s">
        <v>793</v>
      </c>
      <c r="E267" t="s">
        <v>504</v>
      </c>
      <c r="G267" t="s">
        <v>794</v>
      </c>
      <c r="H267" s="1" t="str">
        <f>_xlfn.TEXTJOIN(CHAR(10),FALSE, _xlfn.TEXTSPLIT(Table_textAnnotations[[#This Row],[Anno_Text]], "ABSATZ"))</f>
        <v>Die etymologische Bedeutung des Wortes »Klitoris &lt;&lt; ist unklar.  Es findet sich in allen modernen indogermanischen Sprachen und  stammt natürlich aus dem Griechischen. Aber darüber, wie die  Griechen selbst dazu kamen, streiten sich die Gelehrten. Egal. Nahezu alle vorgeschlagenen Wurzeln besitzen libidinöse Konnotationen. Wenn eine Quelle aus dem 2. Jahrhundert das Wort vom  Verb kleitoriazein, »lüstern erregen«, ableiten möchte, so schießt  sie zwar ein wenig über das Ziel hinaus, da es sich in Wirklichkeit  genau umgekehrt verhält. (Das Verb ist von kleitoris abgeleitet  und bedeutet schlicht »die Klitoris berühren«.) Aber die von anderen vorgeschlagene Ableitung vom griechischen Wort für  »Schlüssel«&lt;, kleis (also die Klitoris als der Schlüssel zur weiblichen Sexualität) oder aber von der Verbwurzel klinein, »sich stützen&lt;&lt; oder »&gt;neigen« (wovon auch klinê, »Bett«&lt;, abgeleitet ist) lässt der erotischen Fantasie durchaus genügend Spielraum. (In nicht  indoeuropäischen Sprachen kann das Wort für »Klitoris &lt;&lt; auch  eher auf das Aussehen als auf die Funktion des Organs anspielen.  Das chinesische Ideogramm etwa setzt sich aus yin, für »weiblich«&lt;, und ti, für »Stängel« zusammen, da der Stängel der Aubergine einer Klitoris ähnelt.)</v>
      </c>
      <c r="I267" s="1" t="s">
        <v>794</v>
      </c>
      <c r="J267" s="2" t="b">
        <v>0</v>
      </c>
      <c r="L267" t="str">
        <f>_xlfn.TEXTJOIN("_",TRUE,Table_textAnnotations[[#This Row],[Buch_Key]],Table_textAnnotations[[#This Row],[Anno_Key]],IF(ISBLANK(Table_textAnnotations[[#This Row],[Anno_Page_manuell]]),Table_textAnnotations[[#This Row],[Anno_Page_Auto]],Table_textAnnotations[[#This Row],[Anno_Page_manuell]]))&amp; ".txt"</f>
        <v>6N73PCNZ_HG2BR83V_98.txt</v>
      </c>
    </row>
    <row r="268" spans="1:12" ht="165" x14ac:dyDescent="0.25">
      <c r="A268" t="s">
        <v>761</v>
      </c>
      <c r="B268" t="s">
        <v>762</v>
      </c>
      <c r="C268">
        <v>2000</v>
      </c>
      <c r="D268" t="s">
        <v>795</v>
      </c>
      <c r="E268" t="s">
        <v>504</v>
      </c>
      <c r="G268" t="s">
        <v>796</v>
      </c>
      <c r="H268" s="1" t="str">
        <f>_xlfn.TEXTJOIN(CHAR(10),FALSE, _xlfn.TEXTSPLIT(Table_textAnnotations[[#This Row],[Anno_Text]], "ABSATZ"))</f>
        <v>&gt;&gt;Unter den deutsch-, französisch- oder englischsprachigen Autoritäten in Freuds Zeit, aber auch zurückreichend bis zum frühen 17. Jahrhundert, war man sich einig in der Auffassung, dass die weibliche sexuelle Befriedigung in den Strukturen der Vulva im Allgemeinen und der Klitoris im Besonderen ihren Ursprung hätte«, schreibt Thomas Laqueur. »Andere Örtlichkeiten wurden nicht vorgeschlagen.« In Tönen, die gehemmte Brunftigkeit mit Prüderie verbanden, bezeichneten frühe Anatomen die Klitoris als ein »obszönes Organ viehischer Wollust«&lt; oder als »ein Instrument der Unzucht«. Im Jahr 1612 schrieb Jacques Duval über sie: »Auf französisch wird sie Versuchung, Dorn der Wollust, weibliche Rute und Männerspott genannt: und Frauen, die ihre Geilheit eingestehen, nennen sie ihr gaude mihi [freu mich].&lt;&lt; Duval erklärte nicht, wie er dazu kam, in der weiblichen Rute den »Spötter der Männer« zu sehen. Lag es vielleicht daran, dass er die Fähigkeit der Frau, sinnliches Vergnügen zu empfinden, als Bedrohung der etablierten gesellschaftlichen und sexuellen Ordnung ansah? Oder gab er vielleicht nur implizit zu, was wir Mädels gern hören möchten: Dass er (und ebenso vermutlich manch ein anderer Mann) auf Gaudemihis Monomanie eifersüchtig war? &gt;&gt;Keine unserer jüngeren anatomischen Entdeckungen«, schloss Bernard de Mandeville 1724, »deutet auf eine andere Funktion der Klitoris hin, als durch ihre häufigen Erektionen das weibliche Verlangen anzufachen.«&lt;</v>
      </c>
      <c r="I268" s="1" t="s">
        <v>796</v>
      </c>
      <c r="J268" s="2" t="b">
        <v>0</v>
      </c>
      <c r="L268" t="str">
        <f>_xlfn.TEXTJOIN("_",TRUE,Table_textAnnotations[[#This Row],[Buch_Key]],Table_textAnnotations[[#This Row],[Anno_Key]],IF(ISBLANK(Table_textAnnotations[[#This Row],[Anno_Page_manuell]]),Table_textAnnotations[[#This Row],[Anno_Page_Auto]],Table_textAnnotations[[#This Row],[Anno_Page_manuell]]))&amp; ".txt"</f>
        <v>6N73PCNZ_KIJC4YNT_98.txt</v>
      </c>
    </row>
    <row r="269" spans="1:12" ht="45" x14ac:dyDescent="0.25">
      <c r="A269" t="s">
        <v>761</v>
      </c>
      <c r="B269" t="s">
        <v>762</v>
      </c>
      <c r="C269">
        <v>2000</v>
      </c>
      <c r="D269" t="s">
        <v>797</v>
      </c>
      <c r="E269" t="s">
        <v>798</v>
      </c>
      <c r="G269" t="s">
        <v>799</v>
      </c>
      <c r="H269" s="1" t="str">
        <f>_xlfn.TEXTJOIN(CHAR(10),FALSE, _xlfn.TEXTSPLIT(Table_textAnnotations[[#This Row],[Anno_Text]], "ABSATZ"))</f>
        <v>Mit Ausnahme des großen Linné, der aus unerfindlichen Gründen behauptete, einzig Menschenweibchen hätten eine Klitoris, erkannten die meisten frühen Anatomen und Naturforscher ganz  richtig, dass andere weibliche Säugetiere gleichfalls im Besitz des  Ehrfurcht gebietenden Instruments sind.</v>
      </c>
      <c r="I269" s="1" t="s">
        <v>799</v>
      </c>
      <c r="J269" s="2" t="b">
        <v>0</v>
      </c>
      <c r="L269" t="str">
        <f>_xlfn.TEXTJOIN("_",TRUE,Table_textAnnotations[[#This Row],[Buch_Key]],Table_textAnnotations[[#This Row],[Anno_Key]],IF(ISBLANK(Table_textAnnotations[[#This Row],[Anno_Page_manuell]]),Table_textAnnotations[[#This Row],[Anno_Page_Auto]],Table_textAnnotations[[#This Row],[Anno_Page_manuell]]))&amp; ".txt"</f>
        <v>6N73PCNZ_2XV4KPBU_99.txt</v>
      </c>
    </row>
    <row r="270" spans="1:12" ht="240" x14ac:dyDescent="0.25">
      <c r="A270" t="s">
        <v>761</v>
      </c>
      <c r="B270" t="s">
        <v>762</v>
      </c>
      <c r="C270">
        <v>2000</v>
      </c>
      <c r="D270" t="s">
        <v>800</v>
      </c>
      <c r="E270" t="s">
        <v>441</v>
      </c>
      <c r="G270" t="s">
        <v>801</v>
      </c>
      <c r="H270" s="1" t="str">
        <f>_xlfn.TEXTJOIN(CHAR(10),FALSE, _xlfn.TEXTSPLIT(Table_textAnnotations[[#This Row],[Anno_Text]], "ABSATZ"))</f>
        <v>Die frühen Anatomen und sonstigen Interessenten mögen die Wichtigkeit der Klitoris erkannt und gewürdigt haben, doch das bedeutet noch lange nicht, dass das Organ je - und bis auf den heutigen Tag - Gegenstand erschöpfender wissenschaftlicher Untersuchungen gewesen wäre. Nancy Friday beklagt die systematische Weise, in der die Klitoris totgeschwiegen wird, und die damit verbundene Tatsache, dass Mädchen nicht die gleichen Informationen über die anatomische Beschaffenheit ihrer Geschlechtsteile erhalten wie Jungen über die ihren und dadurch, wie sie sagt, einer »mentalen Klitoridektomie« unterzogen werden. Als die Muttergeschädigte, die sie ist, macht sie für diesen psychochirurgischen Eingriff unsere Erzeugerinnen und deren schmallippige Repressivität verantwortlich. Aber die medizinische und sonstige einschlägige Fachliteratur erweist sich in Sachen Klitoris kaum als gesprächiger. Eine Suche bei Medline, der größten medizinischen Online-Datenbank der Welt, ergab für einen Veröffentlichungszeitraum von fünf Jahren nicht mehr als knapp 60 Publikationen zum Thema Klitoris (gegenüber 1800 Treffern für den Suchbegriff »Penis«&lt;). Wissenschaftliche Monografien über unser Organ gibt es überhaupt nur zwei: Die eine ist The Clitoris, die andere The Classic Clitoris überschrieben, und beide sind schon über zwanzig Jahre alt. Selbst Lehrbücher der Gynäkologie handeln die Klitoris mit einer, bestenfalls zwei Seiten ab. Dieses offensichtlich geringe Interesse seitens der Fachwelt mag zum Teil damit zu erklären sein, dass die Medizin in erster Linie mit der Erforschung und Behandlung von Krankheiten befasst ist und die Klitoris uns in dieser Hinsicht - glücklicherweise - eher selten Grund zur Klage gibt. Aber wenigstens in den Vereinigten Staaten spiegelt dieser allgemeine Mangel an Beachtung mindestens ebenso sehr auch hundsgewöhnliche Prüderie und die darin begründete Schwierigkeit wider, Bundesgelder für die Untersuchung der Morphologie kleiner griechischer Schlüssel bewilligt zu bekommen. Die Klitoris braucht ganz offensichtlich mehr italienische Forscher.</v>
      </c>
      <c r="I270" s="1" t="s">
        <v>801</v>
      </c>
      <c r="J270" s="2" t="b">
        <v>0</v>
      </c>
      <c r="L270" t="str">
        <f>_xlfn.TEXTJOIN("_",TRUE,Table_textAnnotations[[#This Row],[Buch_Key]],Table_textAnnotations[[#This Row],[Anno_Key]],IF(ISBLANK(Table_textAnnotations[[#This Row],[Anno_Page_manuell]]),Table_textAnnotations[[#This Row],[Anno_Page_Auto]],Table_textAnnotations[[#This Row],[Anno_Page_manuell]]))&amp; ".txt"</f>
        <v>6N73PCNZ_UMWSFHK4_101.txt</v>
      </c>
    </row>
    <row r="271" spans="1:12" ht="75" x14ac:dyDescent="0.25">
      <c r="A271" t="s">
        <v>761</v>
      </c>
      <c r="B271" t="s">
        <v>762</v>
      </c>
      <c r="C271">
        <v>2000</v>
      </c>
      <c r="D271" t="s">
        <v>802</v>
      </c>
      <c r="E271" t="s">
        <v>803</v>
      </c>
      <c r="G271" t="s">
        <v>804</v>
      </c>
      <c r="H271" s="1" t="str">
        <f>_xlfn.TEXTJOIN(CHAR(10),FALSE, _xlfn.TEXTSPLIT(Table_textAnnotations[[#This Row],[Anno_Text]], "ABSATZ"))</f>
        <v>Nur in einer Hinsicht hat die Klitoris in jüngerer Zeit die wissenschaftliche Neugier geweckt, und zwar bezüglich der Frage, ob  es überhaupt einen vernünftigen Grund dafür gibt, dass wir sie  haben. Vielleicht hast du selbst auch schon entsprechende Spekulationen angestellt. Vielleicht hast du schon die ollen sexuellen  Kamellen im Geist gewälzt und dich gefragt, wie es kommt, dass  die Frauen diejenigen sind, die ein ausschließlich dem sexuellen  Vergnügen dienendes Organ besitzen, wo es doch angeblich die  Männer sind, die nichts anderes als ebendieses Vergnügen im Kopf haben.</v>
      </c>
      <c r="I271" s="1" t="s">
        <v>804</v>
      </c>
      <c r="J271" s="2" t="b">
        <v>0</v>
      </c>
      <c r="L271" t="str">
        <f>_xlfn.TEXTJOIN("_",TRUE,Table_textAnnotations[[#This Row],[Buch_Key]],Table_textAnnotations[[#This Row],[Anno_Key]],IF(ISBLANK(Table_textAnnotations[[#This Row],[Anno_Page_manuell]]),Table_textAnnotations[[#This Row],[Anno_Page_Auto]],Table_textAnnotations[[#This Row],[Anno_Page_manuell]]))&amp; ".txt"</f>
        <v>6N73PCNZ_3CT7UUFS_102.txt</v>
      </c>
    </row>
    <row r="272" spans="1:12" ht="120" x14ac:dyDescent="0.25">
      <c r="A272" t="s">
        <v>761</v>
      </c>
      <c r="B272" t="s">
        <v>762</v>
      </c>
      <c r="C272">
        <v>2000</v>
      </c>
      <c r="D272" t="s">
        <v>805</v>
      </c>
      <c r="E272" t="s">
        <v>806</v>
      </c>
      <c r="G272" t="s">
        <v>807</v>
      </c>
      <c r="H272" s="1" t="str">
        <f>_xlfn.TEXTJOIN(CHAR(10),FALSE, _xlfn.TEXTSPLIT(Table_textAnnotations[[#This Row],[Anno_Text]], "ABSATZ"))</f>
        <v>Oder vielleicht lautete deine Schlussfolgerung,  dass die Klitoris nur ein Gerücht sein müsse, kaum wirklich da,  mehr Fantasie denn Fleisch. Schließlich ist die Klitoris klein und  hebt sich von den umgebenden Fältelungen und Furchen der Vulva  kaum ab. Anorgasmischen Frauen, die noch so sehr rubbeln und  rummachen können und dennoch nicht zum Höhepunkt kommen, könnte die Klitoris tatsächlich als die überbewertetste und  irreführendste körperliche Protuberanz nach Pinocchios Nase  erscheinen. Sicher, bei manchen funktioniert sie, aber bei anderen  ist sie notorisch unzuverlässig. Marilyn Monroe, die gefeiertste  Sex-Ikone des 20. Jahrhunderts und mit Sicherheit der Auslöser  der autoeruptiven Wonnen Abertausender von Fans, gestand einer  Freundin, sie habe trotz ihrer drei Ehemänner und einer ganzen  Latte von Liebhabern noch nie einen Orgasmus erlebt. Würden  wir selbst Immanuel Kant, von dem die Sage geht, er sei jungfräulich gestorben, eine analoge sexuelle Ahnungslosigkeit zutrauen?</v>
      </c>
      <c r="I272" s="1" t="s">
        <v>807</v>
      </c>
      <c r="J272" s="2" t="b">
        <v>0</v>
      </c>
      <c r="L272" t="str">
        <f>_xlfn.TEXTJOIN("_",TRUE,Table_textAnnotations[[#This Row],[Buch_Key]],Table_textAnnotations[[#This Row],[Anno_Key]],IF(ISBLANK(Table_textAnnotations[[#This Row],[Anno_Page_manuell]]),Table_textAnnotations[[#This Row],[Anno_Page_Auto]],Table_textAnnotations[[#This Row],[Anno_Page_manuell]]))&amp; ".txt"</f>
        <v>6N73PCNZ_8DEETU69_103.txt</v>
      </c>
    </row>
    <row r="273" spans="1:12" ht="90" x14ac:dyDescent="0.25">
      <c r="A273" t="s">
        <v>761</v>
      </c>
      <c r="B273" t="s">
        <v>762</v>
      </c>
      <c r="C273">
        <v>2000</v>
      </c>
      <c r="D273" t="s">
        <v>808</v>
      </c>
      <c r="E273" t="s">
        <v>806</v>
      </c>
      <c r="G273" t="s">
        <v>809</v>
      </c>
      <c r="H273" s="1" t="str">
        <f>_xlfn.TEXTJOIN(CHAR(10),FALSE, _xlfn.TEXTSPLIT(Table_textAnnotations[[#This Row],[Anno_Text]], "ABSATZ"))</f>
        <v>Wie es der Zufall so will, findet zurzeit eine leidenschaftliche  evolutionistisch-philosophische Debatte über Sinn und Unsinn  der Klitoris und ihres Busenfreundes, des weiblichen Orgasmus,  statt. Die Humanbiologen fragen sich, ob die Fähigkeit, einen Orgasmus zu erleben, der Frau irgendetwas einbringe und somit als Resultat eines langen Anpassungs- und Selektionsprozesses gewertet werden könne - oder aber ob sie, mit Stephen Jay Gould  zu sprechen, ein »prächtiges Zufallsprodukt« sei. Diese Debatte  ist ein astreiner dreckiger intellektueller Witz, ungleich amüsanter, als wie seinerzeit in den siebziger Jahren beschworen zu werden, uns einen Spiegel zu holen und unsere Genitalien selbst zu  inspizieren. Sie verleiht der Klitoris eine heitere neue Bedeutungsnuance.</v>
      </c>
      <c r="I273" s="1" t="s">
        <v>809</v>
      </c>
      <c r="J273" s="2" t="b">
        <v>1</v>
      </c>
      <c r="L273" t="str">
        <f>_xlfn.TEXTJOIN("_",TRUE,Table_textAnnotations[[#This Row],[Buch_Key]],Table_textAnnotations[[#This Row],[Anno_Key]],IF(ISBLANK(Table_textAnnotations[[#This Row],[Anno_Page_manuell]]),Table_textAnnotations[[#This Row],[Anno_Page_Auto]],Table_textAnnotations[[#This Row],[Anno_Page_manuell]]))&amp; ".txt"</f>
        <v>6N73PCNZ_UNVLA86T_103.txt</v>
      </c>
    </row>
    <row r="274" spans="1:12" ht="45" x14ac:dyDescent="0.25">
      <c r="A274" t="s">
        <v>761</v>
      </c>
      <c r="B274" t="s">
        <v>762</v>
      </c>
      <c r="C274">
        <v>2000</v>
      </c>
      <c r="D274" t="s">
        <v>810</v>
      </c>
      <c r="E274" t="s">
        <v>806</v>
      </c>
      <c r="G274" t="s">
        <v>811</v>
      </c>
      <c r="H274" s="1" t="str">
        <f>_xlfn.TEXTJOIN(CHAR(10),FALSE, _xlfn.TEXTSPLIT(Table_textAnnotations[[#This Row],[Anno_Text]], "ABSATZ"))</f>
        <v>Manche Forscher haben schwarz auf weiß die Vermutung geäußert, der weibliche Orgasmus könnte so überflüssig sein, dass er möglicherweise kurz davor stehe, vollends wegselektioniert zu werden. Ein winzig kleiner Fehltritt auf der Evolutionsleiter, und diese Nervenfasern könnten für immer verstummen.</v>
      </c>
      <c r="I274" s="1" t="s">
        <v>811</v>
      </c>
      <c r="J274" s="2" t="b">
        <v>1</v>
      </c>
      <c r="L274" t="str">
        <f>_xlfn.TEXTJOIN("_",TRUE,Table_textAnnotations[[#This Row],[Buch_Key]],Table_textAnnotations[[#This Row],[Anno_Key]],IF(ISBLANK(Table_textAnnotations[[#This Row],[Anno_Page_manuell]]),Table_textAnnotations[[#This Row],[Anno_Page_Auto]],Table_textAnnotations[[#This Row],[Anno_Page_manuell]]))&amp; ".txt"</f>
        <v>6N73PCNZ_TBRVZFIP_103.txt</v>
      </c>
    </row>
    <row r="275" spans="1:12" ht="60" x14ac:dyDescent="0.25">
      <c r="A275" t="s">
        <v>761</v>
      </c>
      <c r="B275" t="s">
        <v>762</v>
      </c>
      <c r="C275">
        <v>2000</v>
      </c>
      <c r="D275" t="s">
        <v>812</v>
      </c>
      <c r="E275" t="s">
        <v>813</v>
      </c>
      <c r="G275" t="s">
        <v>814</v>
      </c>
      <c r="H275" s="1" t="str">
        <f>_xlfn.TEXTJOIN(CHAR(10),FALSE, _xlfn.TEXTSPLIT(Table_textAnnotations[[#This Row],[Anno_Text]], "ABSATZ"))</f>
        <v>Lasst uns einen leidenschaftslosen Blick auf die klitorale Bilanz werfen und die Theorien über die mögliche Herkunft des Organs einer nüchternen Prüfung unterziehen. Dann mag jede für  sich selbst entscheiden, ob sie sich im Vertrauen auf seine bleibende Bedeutung entspannen kann oder ob es langsam an der Zeit  ist, der Göttin Klitoris und ihren Stellvertreterinnen auf Erden,  Bonobo à gogo, ein paar Bittopfer darzubringen.</v>
      </c>
      <c r="I275" s="1" t="s">
        <v>814</v>
      </c>
      <c r="J275" s="2" t="b">
        <v>0</v>
      </c>
      <c r="L275" t="str">
        <f>_xlfn.TEXTJOIN("_",TRUE,Table_textAnnotations[[#This Row],[Buch_Key]],Table_textAnnotations[[#This Row],[Anno_Key]],IF(ISBLANK(Table_textAnnotations[[#This Row],[Anno_Page_manuell]]),Table_textAnnotations[[#This Row],[Anno_Page_Auto]],Table_textAnnotations[[#This Row],[Anno_Page_manuell]]))&amp; ".txt"</f>
        <v>6N73PCNZ_AVC5ETLC_104.txt</v>
      </c>
    </row>
    <row r="276" spans="1:12" ht="135" x14ac:dyDescent="0.25">
      <c r="A276" t="s">
        <v>761</v>
      </c>
      <c r="B276" t="s">
        <v>762</v>
      </c>
      <c r="C276">
        <v>2000</v>
      </c>
      <c r="D276" t="s">
        <v>815</v>
      </c>
      <c r="E276" t="s">
        <v>813</v>
      </c>
      <c r="G276" t="s">
        <v>816</v>
      </c>
      <c r="H276" s="1" t="str">
        <f>_xlfn.TEXTJOIN(CHAR(10),FALSE, _xlfn.TEXTSPLIT(Table_textAnnotations[[#This Row],[Anno_Text]], "ABSATZ"))</f>
        <v>Drei grundsätzliche Wahrheiten gilt es in Bezug auf die Klitoris  und den weiblichen Orgasmus im Sinn zu behalten. Geben wir es  ruhig gleich an erster Stelle zu: Der weibliche Orgasmus ist entbehrlich. Ein Mann (oder männliches Tier) muss in der Regel zum  Orgasmus kommen, um sich fortpflanzen zu können, während  eine Frau problemlos schwanger werden kann, auch wenn sie  nicht das Geringste empfindet oder sogar, im Fall einer Vergewaltigung, nichts als Abscheu und Angst fühlt. Zweitens: Der weibliche Orgasmus ist launisch. Die Verlässlichkeit und Frequenz seines Auftretens sind von Frau zu Frau sehr variabel. Drittens: Es  gibt da das Problem mit der Homologie der Geschlechtsteile - die Tatsache, dass Klitoris und Penis sich aus dem gleichen embryonalen Geschlechtshügel entwickeln.  Aber damit sind wir mit den Triaden noch nicht durch. Die genannten physiologischen Wahrheiten legen ihrerseits drei mögliche evolutionistische Kategorien nahe, unter welche sich unser  Star-Organ einordnen ließe - drei vertretbare Antworten auf die  Frage, warum es die Klitoris überhaupt gibt und warum sie tut,  was sie tut (oder manchmal auch nicht).</v>
      </c>
      <c r="I276" s="1" t="s">
        <v>816</v>
      </c>
      <c r="J276" s="2" t="b">
        <v>1</v>
      </c>
      <c r="L276" t="str">
        <f>_xlfn.TEXTJOIN("_",TRUE,Table_textAnnotations[[#This Row],[Buch_Key]],Table_textAnnotations[[#This Row],[Anno_Key]],IF(ISBLANK(Table_textAnnotations[[#This Row],[Anno_Page_manuell]]),Table_textAnnotations[[#This Row],[Anno_Page_Auto]],Table_textAnnotations[[#This Row],[Anno_Page_manuell]]))&amp; ".txt"</f>
        <v>6N73PCNZ_2Y9K763R_104.txt</v>
      </c>
    </row>
    <row r="277" spans="1:12" ht="150" x14ac:dyDescent="0.25">
      <c r="A277" t="s">
        <v>761</v>
      </c>
      <c r="B277" t="s">
        <v>762</v>
      </c>
      <c r="C277">
        <v>2000</v>
      </c>
      <c r="D277" t="s">
        <v>817</v>
      </c>
      <c r="E277" t="s">
        <v>813</v>
      </c>
      <c r="G277" t="s">
        <v>818</v>
      </c>
      <c r="H277" s="1" t="str">
        <f>_xlfn.TEXTJOIN(CHAR(10),FALSE, _xlfn.TEXTSPLIT(Table_textAnnotations[[#This Row],[Anno_Text]], "ABSATZ"))</f>
        <v>[Kontext: Erklärungsansätze zur Existenz und Relevanz der Klitoris]
1. Die Klitoris ist ein rudimentärer Penis. Ein Mädchen hat deswegen eine, weil der Körper inhärent zweigeschlechtlich ist, als Embryo darauf angelegt, entweder männliche oder weibliche Geschlechtsorgane zu entwickeln. Wenn sie zu einem Jungen hätte werden sollen, hätte sie einen funktionsfähigen, ejakulierenden, innervierten Penis gebraucht. So aber bekam sie ein Penisrudiment, einen kleinen Knubbel von sensorischem Gewebe mit der gleichen neuronalen Grundausstattung, die sich auch in einem richtigen Phallus findet. Demnach ist die Klitoris wie die männliche Brustwarze ein Atavismus: die kaum noch erkennbare Andeutung dessen, was hätte sein können, aber eigentlich nicht mehr zu sein braucht. Nach dieser Erklärung stellen Klitoris und weiblicher Orgasmus keine Anpassungsleistung dar. Der ejakulationsfähige Penis alias DNS-Ausgabegerät ist die Anpassungsleistung, der Zweck der Übung. Die Klitoris ist lediglich der Trostpreis.</v>
      </c>
      <c r="I277" s="1" t="s">
        <v>1378</v>
      </c>
      <c r="J277" s="2" t="b">
        <v>1</v>
      </c>
      <c r="L277" t="str">
        <f>_xlfn.TEXTJOIN("_",TRUE,Table_textAnnotations[[#This Row],[Buch_Key]],Table_textAnnotations[[#This Row],[Anno_Key]],IF(ISBLANK(Table_textAnnotations[[#This Row],[Anno_Page_manuell]]),Table_textAnnotations[[#This Row],[Anno_Page_Auto]],Table_textAnnotations[[#This Row],[Anno_Page_manuell]]))&amp; ".txt"</f>
        <v>6N73PCNZ_7F4RQYB7_104.txt</v>
      </c>
    </row>
    <row r="278" spans="1:12" ht="165" x14ac:dyDescent="0.25">
      <c r="A278" t="s">
        <v>761</v>
      </c>
      <c r="B278" t="s">
        <v>762</v>
      </c>
      <c r="C278">
        <v>2000</v>
      </c>
      <c r="D278" t="s">
        <v>819</v>
      </c>
      <c r="E278" t="s">
        <v>820</v>
      </c>
      <c r="G278" t="s">
        <v>821</v>
      </c>
      <c r="H278" s="1" t="str">
        <f>_xlfn.TEXTJOIN(CHAR(10),FALSE, _xlfn.TEXTSPLIT(Table_textAnnotations[[#This Row],[Anno_Text]], "ABSATZ"))</f>
        <v>[Kontext: Erklärungsansätze zur Existenz und Relevanz der Klitoris]
2. Die Klitoris ist eine rudimentäre Klitoris. Das soeben skizzierte Szenario besagt, dass die Klitoris keine »Anpassung&lt;&lt; darstellt und auch niemals dargestellt hat. Sie ist ein rudimentärer Penis. Eine andere These lautet, dass die Klitoris heute vielleicht keinen erkennbaren praktischen Nutzen hat, in der Vergangenheit aber durchaus eine Anpassungsleistung war und mit der Pracht einer ganzen gottverdammten byzantinischen Kuppel erstrahlte. Nach dieser Theorie verhielten sich unsere Urschwestern nicht viel anders als die Bonobos, das heißt, sie setzten die Sexualität als ein Allzweckinstrument ein um Freundschaften zu schließen, um Wogen zu glätten, um einer beliebigen Anzahl von Partnern Fleisch und andere Gunstbezeigungen zu entlocken und um Vaterschaftsklagen zu erschweren. Die Klitoris gab den Urmenschenweibchen einen Anreiz zum Herumexperimentieren, dazu, sich unverbindlich umzusehen, die erotische Entrepreneuse zu spielen. Diese Hypothese könnte erklären, warum Frauen so langsam in Fahrt kommen. Ihre Sexualität ist auf serielle Begegnungen mit einer Reihe verschiedener männlicher Schnellschießer angelegt: Also gut, der hat's nicht ganz gebracht. Dann mache ich mich eben auf und klappere die Savanne ab und nehme mir den Nächsten zur Brust.</v>
      </c>
      <c r="I278" s="1" t="s">
        <v>1437</v>
      </c>
      <c r="J278" s="2" t="b">
        <v>1</v>
      </c>
      <c r="L278" t="str">
        <f>_xlfn.TEXTJOIN("_",TRUE,Table_textAnnotations[[#This Row],[Buch_Key]],Table_textAnnotations[[#This Row],[Anno_Key]],IF(ISBLANK(Table_textAnnotations[[#This Row],[Anno_Page_manuell]]),Table_textAnnotations[[#This Row],[Anno_Page_Auto]],Table_textAnnotations[[#This Row],[Anno_Page_manuell]]))&amp; ".txt"</f>
        <v>6N73PCNZ_EKX3XGE8_105.txt</v>
      </c>
    </row>
    <row r="279" spans="1:12" ht="360" x14ac:dyDescent="0.25">
      <c r="A279" t="s">
        <v>761</v>
      </c>
      <c r="B279" t="s">
        <v>762</v>
      </c>
      <c r="C279">
        <v>2000</v>
      </c>
      <c r="D279" t="s">
        <v>822</v>
      </c>
      <c r="E279" t="s">
        <v>823</v>
      </c>
      <c r="G279" t="s">
        <v>824</v>
      </c>
      <c r="H279" s="1" t="str">
        <f>_xlfn.TEXTJOIN(CHAR(10),FALSE, _xlfn.TEXTSPLIT(Table_textAnnotations[[#This Row],[Anno_Text]], "ABSATZ"))</f>
        <v>[Kontext: Erklärungsansätze zur Existenz und Relevanz der Klitoris; Ausführungen zur 2. Theorie (Die Klitoris war mal bedeutsam und größer, mangels Nutzen schrumpft sie evolutionär gerade)]
Sarah Blaffer Hrdy, eine meiner Lieblingsevolutionsbiologinnen, ist eine Verfechterin dieser Es-war-einmal-Theorie. So wie sie die Sache sieht, ist das launische Gebaren des Organs, sein Angewiesensein auf fortgesetzte - und möglicherweise kollektive Aufmerksamkeit, wenn es sein Bestes geben soll, ein deutliches Indiz dafür, dass es sich gerade im Übergangsstadium vom Anpassung- zum Nichtanpassung-Sein befindet. Frau Hrdy argumentiert folgendermaßen: Wenn der weibliche Orgasmus wirklich, wie das alte Märchen besagt, ein zentrales Element der monogamen Lebensweise und der Paarbindung wäre - wenn sein Zweck darin bestünde, zur Herausbildung und Vertiefung einer innigen Beziehung zwischen zwei liebenden Partnern beizutragen dann wäre die menschliche Klitoris weit effizienter, als sie es ist. Dann würde sie allein auf die Kopulationsbewegungen sofort ansprechen und würde Ruhe geben, sobald der Mann fertig ist. Tatsächlich aber ist nur die Minderheit der Frauen im Stande, durch bloẞes Ruck-zuck-Gerammel zum Orgasmus zu kommen. Die meisten sind schon auf etwas Vorarbeit angewiesen. Hinzu kommt noch die Asymmetrie zwischen den Grenzen der männlichen Standfestigkeit und der Scherzgeburtstagskerze der Frau, dieses verfluchten Flämmchens, das immer wieder hochzuckt, egal wie fest du pustest. All dies gibt guten Grund zu der Vermutung, dass die Menschenfrauen einst promiskuöse, begehrliche, bindungslose Diplomatinnen waren, wie es viele Primatenweibchen noch heute sind. Sie vergnügten sich mit so vielen Partnern, wie sich technisch bewerkstelligen ließ, und nahmen die Risiken, die mit der Vielpaarerei einhergehen, in Kauf, um dadurch die laut Hrdy weit ernstere und stets gegenwärtige Gefahr des Infantizids zu verrin106 gern die Tendenz vieler männlicher Tiere nämlich, Nachkommen, an deren » Ehelichkeit« sie zweifeln, kurzerhand umzubringen. So könnten unsere Ahninnen durchaus ihren lateinischen Zitatenschatz ein bisschen durcheinander gemischt und ausgerufen haben: »Ich sah, ich kam, ich siegte!&lt;&lt; In der heutigen Welt gewinnt eine Frau kaum an Stärke, wenn sie wie ein Berberaffenweibchen herumpoussiert, und in manchen Kulturen wird solch sittenloses Verhalten sogar mit dem Tod bestraft. So gesehen, könnte es einen Anachronismus bedeuten, die Klitoris noch immer für unser bestes Stück zu halten. Und tatsächlich mutmaßen Hrdy und andere, das Organ sei als Folge des Umstands, dass sein gruppendynamischer und fortpflanzungsspezifischer Zweck nicht länger zum Tragen kam, im Laufe der Jahrtausende langsam zusammengeschrumpft. Es habe sich immer weiter hinter seinen vorhäutigen Vorhang zurückgezogen. Wenn der Trend noch weiter anhält... doch nein, ich will es nicht aussprechen. In dem Fall werde ich mich nur hinsetzen und schreien.</v>
      </c>
      <c r="I279" s="1" t="s">
        <v>1438</v>
      </c>
      <c r="J279" s="2" t="b">
        <v>1</v>
      </c>
      <c r="L279" t="str">
        <f>_xlfn.TEXTJOIN("_",TRUE,Table_textAnnotations[[#This Row],[Buch_Key]],Table_textAnnotations[[#This Row],[Anno_Key]],IF(ISBLANK(Table_textAnnotations[[#This Row],[Anno_Page_manuell]]),Table_textAnnotations[[#This Row],[Anno_Page_Auto]],Table_textAnnotations[[#This Row],[Anno_Page_manuell]]))&amp; ".txt"</f>
        <v>6N73PCNZ_5GRA2KD3_106.txt</v>
      </c>
    </row>
    <row r="280" spans="1:12" ht="150" x14ac:dyDescent="0.25">
      <c r="A280" t="s">
        <v>761</v>
      </c>
      <c r="B280" t="s">
        <v>762</v>
      </c>
      <c r="C280">
        <v>2000</v>
      </c>
      <c r="D280" t="s">
        <v>825</v>
      </c>
      <c r="E280" t="s">
        <v>826</v>
      </c>
      <c r="G280" t="s">
        <v>827</v>
      </c>
      <c r="H280" s="1" t="str">
        <f>_xlfn.TEXTJOIN(CHAR(10),FALSE, _xlfn.TEXTSPLIT(Table_textAnnotations[[#This Row],[Anno_Text]], "ABSATZ"))</f>
        <v>[Kontext: Erklärungsansätze zur Existenz und Relevanz der Klitoris]
3. Die Klitoris ist die Musik Johann Sebastian Bachs. Schon wiederholt habe ich beim Anhören Bachscher Musik gedacht: Ohne das gäbe es nichts. Ich habe gelauscht und gedacht: Es war unvermeidlich. Die Evolution hat kein Ziel – mit einer möglichen Ausnahme: der Welt die Brandenburgischen Konzerte Nr. 2 und 5, die Goldberg-Variationen und das Wohltemperierte Klavier zu schenken. Die Dinosaurier starben aus, auf dass Bach leben möchte. Mit anderen Worten: Die Klitoris ist eine Anpassungsleistung. Sie ist unverzichtbar oder zumindest sehr zu empfehlen. Sie ist vielseitig, großzügig, fordernd, tiefgründig, leicht und dauerhaft. Sie besitzt eine chamäleontische Fähigkeit, ihre Bedeutung den jeweiligen Umweltbedingungen anzupassen. Wie Bachs Musik lässt sie sich immer wieder neu interpretieren und aktualisieren. Vielleicht sollten wir also die Erörterung dieser These mit einer simplen Frage beginnen: Würden heute sechs Milliarden Menschen den Planeten bevölkern, wenn die Frauen nicht auf Sex aus wären? Und wie, bitte schön, sollten sie eine Fuge spielen, wenn ihre Orgel keine Pfeifen hat?</v>
      </c>
      <c r="I280" s="1" t="s">
        <v>1338</v>
      </c>
      <c r="J280" s="2" t="b">
        <v>1</v>
      </c>
      <c r="L280" t="str">
        <f>_xlfn.TEXTJOIN("_",TRUE,Table_textAnnotations[[#This Row],[Buch_Key]],Table_textAnnotations[[#This Row],[Anno_Key]],IF(ISBLANK(Table_textAnnotations[[#This Row],[Anno_Page_manuell]]),Table_textAnnotations[[#This Row],[Anno_Page_Auto]],Table_textAnnotations[[#This Row],[Anno_Page_manuell]]))&amp; ".txt"</f>
        <v>6N73PCNZ_HYQPRZ8J_107.txt</v>
      </c>
    </row>
    <row r="281" spans="1:12" ht="270" x14ac:dyDescent="0.25">
      <c r="A281" t="s">
        <v>761</v>
      </c>
      <c r="B281" t="s">
        <v>762</v>
      </c>
      <c r="C281">
        <v>2000</v>
      </c>
      <c r="D281" t="s">
        <v>828</v>
      </c>
      <c r="E281" t="s">
        <v>826</v>
      </c>
      <c r="G281" t="s">
        <v>829</v>
      </c>
      <c r="H281" s="1" t="str">
        <f>_xlfn.TEXTJOIN(CHAR(10),FALSE, _xlfn.TEXTSPLIT(Table_textAnnotations[[#This Row],[Anno_Text]], "ABSATZ"))</f>
        <v>Die Verfechterinnen der These, die Klitoris habe durchaus  einen Sinn und Zweck - sie stelle eine Anpassung dar und sei  durch Selektion zu einem artübergreifenden Geschlechtsmerkmal  107 geworden -, fangen ihre Argumentation damit an, dass sie bestimmte Annahmen auf den Kopf stellen. Wir sagten weiter oben,  grundsätzlich müsse der Mann den Orgasmus erreichen, um sich  fortpflanzen zu können, und damit schiene es klar zu sein, dass  der männliche Orgasmus ein Resultat natürlicher Auslese darstelle. Meredith Small, eine Primatologin, die immer wieder gern  biologische »Wahrheiten« in Frage stellt, hat allerdings zu Recht  darauf hingewiesen, dass der männliche Orgasmus keine notwendige Bedingung der Insemination darstellt. Der Penis beginnt  bereits lange vor der eigentlichen Ejakulation, lebensfähige Spermien auszustoßen, und diese Vorwitzlinge können sich ohne weiteres bis zur Eizelle durchschwänzeln - was auch erklärt, warum  der Coitus interruptus eine so unzuverlässige Form der Empfängnisverhütung ist.  Außerdem: Wer sagt, dass das subjektive Orgasmuserlebnis tatsächlich eine notwendige Bedingung darstellte, als die physiologisch-anatomischen Details der männlichen Konstruktion evolutionär ausgewählt wurden? Wie der Archäologe Timothy Taylor  angemerkt hat, könnte das männliche Tier das Weibchen theoretisch ohne weiteres auch auf dem Weg simplen »Samenlassens&lt;&lt;  befruchten, durch Verabreichung einer Art subkutaner Injektion  oder wie auch immer, jedenfalls ohne irgendwelche ekstatischen  Begleiterscheinungen. Es spricht einiges dafür - vor allem das vergleichsweise einfach aufgebaute Nervensystem -, dass Insektenmännchen das Zeugungsgeschäft auf eben eine solch sachliche  Weise erledigen, dass sie ihr Samenpaket ebenso lustfrei übergeben, wie die Weibchen später ihre Eier ablegen. Wenn aber das  Orgasmuserlebnis bei »höher stehenden«&lt; Männchen aus anderen  denn rein technischen Gründen entwickelt wurde - wenn wir also  die Raison d'être männlicher Lust als vollkommen losgelöst von  der konkreten Aufgabe der Gametenübertragung betrachten -,  dann ist auch das Hauptargument für die These, der weibliche Orgasmus sei das rudimentäre Überbleibsel eines beim Mann  unverzichtbaren Merkmals, nicht mehr aufrechtzuerhalten.</v>
      </c>
      <c r="I281" s="1" t="s">
        <v>829</v>
      </c>
      <c r="J281" s="2" t="b">
        <v>0</v>
      </c>
      <c r="L281" t="str">
        <f>_xlfn.TEXTJOIN("_",TRUE,Table_textAnnotations[[#This Row],[Buch_Key]],Table_textAnnotations[[#This Row],[Anno_Key]],IF(ISBLANK(Table_textAnnotations[[#This Row],[Anno_Page_manuell]]),Table_textAnnotations[[#This Row],[Anno_Page_Auto]],Table_textAnnotations[[#This Row],[Anno_Page_manuell]]))&amp; ".txt"</f>
        <v>6N73PCNZ_67I7I8E3_107.txt</v>
      </c>
    </row>
    <row r="282" spans="1:12" ht="105" x14ac:dyDescent="0.25">
      <c r="A282" t="s">
        <v>761</v>
      </c>
      <c r="B282" t="s">
        <v>762</v>
      </c>
      <c r="C282">
        <v>2000</v>
      </c>
      <c r="D282" t="s">
        <v>830</v>
      </c>
      <c r="E282" t="s">
        <v>831</v>
      </c>
      <c r="G282" t="s">
        <v>832</v>
      </c>
      <c r="H282" s="1" t="str">
        <f>_xlfn.TEXTJOIN(CHAR(10),FALSE, _xlfn.TEXTSPLIT(Table_textAnnotations[[#This Row],[Anno_Text]], "ABSATZ"))</f>
        <v>Wenn wir darin übereinstimmen, dass Klitoris und weiblicher  Orgasmus Anpassungscharakter haben, können wir uns nun den  Details ihrer jeweiligen Leistung zuwenden. Gehen wir also davon  aus, dass die Klitoris existiert, um uns Lust zu verschaffen, und  dass die Lust uns den Anreiz liefert, nach sexueller Betätigung zu  streben - dass wir ohne die Aussicht auf eine hinlänglich hohe Belohnung völlig zufrieden damit wären, zu Hause zu bleiben und  uns der Pflege unserer Zähne zu widmen. Als Nächstes müssen  wir uns noch einmal mit dem Problem der Frustration befassen,  der Häufigkeit, mit der die Klitoris uns im Stich lässt. Warum  müssen wir uns für unser großes Finale so viel mehr in die Riemen  legen als die Männer? Die Klitoris ist launisch: Sie kann so genial  sein und sich gleichzeitig so dämlich anstellen. Oder ist sie vielmehr eine Kassandra, die uns Wahrheiten offenbart, die wir zu  unserem eigenen Schaden ignorieren?</v>
      </c>
      <c r="I282" s="1" t="s">
        <v>832</v>
      </c>
      <c r="J282" s="2" t="b">
        <v>1</v>
      </c>
      <c r="L282" t="str">
        <f>_xlfn.TEXTJOIN("_",TRUE,Table_textAnnotations[[#This Row],[Buch_Key]],Table_textAnnotations[[#This Row],[Anno_Key]],IF(ISBLANK(Table_textAnnotations[[#This Row],[Anno_Page_manuell]]),Table_textAnnotations[[#This Row],[Anno_Page_Auto]],Table_textAnnotations[[#This Row],[Anno_Page_manuell]]))&amp; ".txt"</f>
        <v>6N73PCNZ_DXWSSACT_109.txt</v>
      </c>
    </row>
    <row r="283" spans="1:12" ht="120" x14ac:dyDescent="0.25">
      <c r="A283" t="s">
        <v>761</v>
      </c>
      <c r="B283" t="s">
        <v>762</v>
      </c>
      <c r="C283">
        <v>2000</v>
      </c>
      <c r="D283" t="s">
        <v>833</v>
      </c>
      <c r="E283" t="s">
        <v>831</v>
      </c>
      <c r="G283" t="s">
        <v>834</v>
      </c>
      <c r="H283" s="1" t="str">
        <f>_xlfn.TEXTJOIN(CHAR(10),FALSE, _xlfn.TEXTSPLIT(Table_textAnnotations[[#This Row],[Anno_Text]], "ABSATZ"))</f>
        <v>Wie ich die Sache sehe, lassen sich alle Probleme, mit denen  wir uns bislang befasst haben – die scheinbare Flatterhaftigkeit und Sturheit der Klitoris, ihr mangelhaftes Angepasstsein an die männliche Reaktionskurve und ihr von Frau zu Frau erheblich variierendes Leistungsniveau -, durch die Aufstellung einer simplen  Hypothese lösen: dass die Klitoris den Zweck hat, ihre Trägerin  dazu zu ermutigen, ihr Sexualleben selbst in die Hand zu nehmen.  Zugegeben, die Idee klingt wie eine These aus einem feministischen Manifest, und Körpergewebe gehört keiner politischen  Gruppierung an. Wohl kann es aber seine Stimme durch sein Verhalten abgeben: Bestleistungen erbringen, wenn du es richtig behandelst, und streiken, wenn es sich missbraucht oder missverstanden fühlt. Und tatsächlich gibt die Klitoris dann ihr Bestes,  wenn die Frau sich lebendig und stark fühlt, wenn über ihr - wenn  schon nicht buchstäblich, so doch zumindest bildlich - nur noch  der Himmel ist. Die Klitoris verabscheut es, verschreckt und herumgestoßen zu werden.</v>
      </c>
      <c r="I283" s="1" t="s">
        <v>834</v>
      </c>
      <c r="J283" s="2" t="b">
        <v>1</v>
      </c>
      <c r="L283" t="str">
        <f>_xlfn.TEXTJOIN("_",TRUE,Table_textAnnotations[[#This Row],[Buch_Key]],Table_textAnnotations[[#This Row],[Anno_Key]],IF(ISBLANK(Table_textAnnotations[[#This Row],[Anno_Page_manuell]]),Table_textAnnotations[[#This Row],[Anno_Page_Auto]],Table_textAnnotations[[#This Row],[Anno_Page_manuell]]))&amp; ".txt"</f>
        <v>6N73PCNZ_IZVNRRDI_109.txt</v>
      </c>
    </row>
    <row r="284" spans="1:12" ht="90" x14ac:dyDescent="0.25">
      <c r="A284" t="s">
        <v>761</v>
      </c>
      <c r="B284" t="s">
        <v>762</v>
      </c>
      <c r="C284">
        <v>2000</v>
      </c>
      <c r="D284" t="s">
        <v>835</v>
      </c>
      <c r="E284" t="s">
        <v>190</v>
      </c>
      <c r="G284" t="s">
        <v>836</v>
      </c>
      <c r="H284" s="1" t="str">
        <f>_xlfn.TEXTJOIN(CHAR(10),FALSE, _xlfn.TEXTSPLIT(Table_textAnnotations[[#This Row],[Anno_Text]], "ABSATZ"))</f>
        <v>Die Klitoris lässt sich nicht hetzen oder herumkommandieren. Eine Frau, die sich sorgt, weil es bei ihr länger dauert, als ihr Partner es möglicherweise verkraften kann, wird umso länger  brauchen. Eine Frau hingegen, die aufhört, im Kopf auf den Fahrplan zu starren, sendet eine unterschwellige Botschaft an ihre Klitoris »Ich bin bereit!«&lt; -, und binnen weniger Sekunden kommt  ihr Zug hereingerauscht.  Die Klitoris liebt die Macht, und sie strebt nach immer neuer  Bestätigung des Gefühls, dass sie das Sagen hat. Die Anthropologin Helen Fisher hat herausgefunden, dass Frauen, die leicht und  mehrfach hintereinander zum Orgasmus kommen, ein Merkmal gemeinsam haben: Sie übernehmen die Verantwortung für ihre Befriedigung.</v>
      </c>
      <c r="I284" s="1" t="s">
        <v>1442</v>
      </c>
      <c r="J284" s="2" t="b">
        <v>1</v>
      </c>
      <c r="L284" t="str">
        <f>_xlfn.TEXTJOIN("_",TRUE,Table_textAnnotations[[#This Row],[Buch_Key]],Table_textAnnotations[[#This Row],[Anno_Key]],IF(ISBLANK(Table_textAnnotations[[#This Row],[Anno_Page_manuell]]),Table_textAnnotations[[#This Row],[Anno_Page_Auto]],Table_textAnnotations[[#This Row],[Anno_Page_manuell]]))&amp; ".txt"</f>
        <v>6N73PCNZ_YPW6QXTC_110.txt</v>
      </c>
    </row>
    <row r="285" spans="1:12" ht="75" x14ac:dyDescent="0.25">
      <c r="A285" t="s">
        <v>761</v>
      </c>
      <c r="B285" t="s">
        <v>762</v>
      </c>
      <c r="C285">
        <v>2000</v>
      </c>
      <c r="D285" t="s">
        <v>837</v>
      </c>
      <c r="E285" t="s">
        <v>196</v>
      </c>
      <c r="G285" t="s">
        <v>838</v>
      </c>
      <c r="H285" s="1" t="str">
        <f>_xlfn.TEXTJOIN(CHAR(10),FALSE, _xlfn.TEXTSPLIT(Table_textAnnotations[[#This Row],[Anno_Text]], "ABSATZ"))</f>
        <v>Die Klitoris applaudiert nicht lediglich, wenn ihre Herrin ihre  Meisterschaft vorführt; sie spendet regelrecht Standing Ovations.  Im multiplen Orgasmus sehen wir den schönsten Beweis dafür,  dass Unsere Liebe Frau vom Venusberg wirklich denen hilft, die  sich selbst zu helfen wissen. Den ersten Höhepunkt zu erreichen  kann unter Umständen viele Minuten in Anspruch nehmen. Doch  ist die lustige Bergsteigerin erst einmal angekommen, kann sie sich  den Schwingen überlassen, die sie dort oben erwarten. Sie braucht  nicht erst wieder ins Tal zu kraxeln, um den nächsten Gipfel zu besteigen, sondern kann dank der Thermik der Wonne wie ein  Adler weitergleiten.</v>
      </c>
      <c r="I285" s="1" t="s">
        <v>838</v>
      </c>
      <c r="J285" s="2" t="b">
        <v>1</v>
      </c>
      <c r="L285" t="str">
        <f>_xlfn.TEXTJOIN("_",TRUE,Table_textAnnotations[[#This Row],[Buch_Key]],Table_textAnnotations[[#This Row],[Anno_Key]],IF(ISBLANK(Table_textAnnotations[[#This Row],[Anno_Page_manuell]]),Table_textAnnotations[[#This Row],[Anno_Page_Auto]],Table_textAnnotations[[#This Row],[Anno_Page_manuell]]))&amp; ".txt"</f>
        <v>6N73PCNZ_7UWRTCWX_111.txt</v>
      </c>
    </row>
    <row r="286" spans="1:12" ht="315" x14ac:dyDescent="0.25">
      <c r="A286" t="s">
        <v>761</v>
      </c>
      <c r="B286" t="s">
        <v>762</v>
      </c>
      <c r="C286">
        <v>2000</v>
      </c>
      <c r="D286" t="s">
        <v>839</v>
      </c>
      <c r="E286" t="s">
        <v>196</v>
      </c>
      <c r="G286" t="s">
        <v>840</v>
      </c>
      <c r="H286" s="1" t="str">
        <f>_xlfn.TEXTJOIN(CHAR(10),FALSE, _xlfn.TEXTSPLIT(Table_textAnnotations[[#This Row],[Anno_Text]], "ABSATZ"))</f>
        <v>Die innige Beziehung, die zwischen der seelisch-geistigen Verfassung einer Frau und ihrer klitoralen Leistungsfähigkeit erkennbar wird, bedeutet, dass die Klitoris ans Gehirn - das »&gt;richtige&lt;&lt;,  große Gehirn angeschlossen werden muss, ehe sie losjubeln  kann. Das Gehirn muss genauso lernen, sein Steckenpferdchen zu  reiten, wie es lernen muss, seinen Körper auf einem Fahrrad im  Gleichgewicht zu halten. Manche Frauen finden schon in der  Kindheit heraus, wie sie zum Höhepunkt gelangen, während andere den Zusammenhang erst als Erwachsene herstellen lernen.  Das ist allerdings keine physikalisch-technische Aufgabenstellung. Du kannst sie nicht allein mit deinem Neokortex lösen, dieser dick gefältelten Hirnoberschicht aus fischgrauem Gewebe, die  fortwährend grübelt und zögert und jeden Impuls hinterfragt. Du  musst dich mit einer älteren, archaischeren Schaltstelle in Verbindung setzen, dem Hypothalamus - dem an der Unterseite deines  Großhirns, ein paar Zentimeter hinter deinen Augäpfeln gelegenen Teil des Zwischenhirns, der über den Appetit regiert, den  Appetit auf Nahrung, Salz, Macht, Sex. Bisweilen erfordert der  Anschluss der Klitoris an den Hypothalamus eine Umleitung: eine  Umgehung des Neokortex. Der Neokortex ist intelligent und  herrschsüchtig, und dies kann so weit gehen, dass er seiner EigenIII tümerin das Recht abspricht, die letztendliche Kontrolle zu behalten. Die Kontrolle, von der ich spreche, betrifft eine ganzheitliche,  das gesamte Gehirn begreifende Operation, eine heikle Verhandlung zwischen &gt;&gt;Neo-« und »Ur-«, zwischen Intellekt und Verlangen. Wenn eine Frau also unter einem zu stimmgewaltigen Neokortex leidet, muss sie ihm auf die eine oder andere Weise den  Mund so lange stopfen, dass Hypothalamus und Klitoris Zeit  haben, ihre neue Partnerschaft zu besiegeln. Alkohol könnte den  Job erledigen, wenn er nicht eine so stark sedierende und abstumpfende Wirkung auf das gesamte Nervensystem hätte. Effektiver sind da Drogen, die den Intellekt ablenken, ohne die Relaisstationen unseres Bioelektrizitätswerks in ihrer Leistung zu  beeinträchtigen. Die meisten dieser Drogen unterliegen leider dem  Betäubungsmittelgesetz. Methaqualon (Quaalude) soll ein unglaubliches Aphrodisiakum gewesen sein, aber Quaalude-Tabletten sind nicht mehr erhältlich. Sie waren einfach zu gut, das heißt zu gefährlich, und so mussten sie aus dem Handel genommen werden. Aber das Marihuana haben Die-da-oben uns noch nicht  genommen, und Marihuana kann ein wahrer Sexual-Guru und  begnadeter Elektroinstallateur in einem sein, der Frauen, die Jahre und Jahre in eiskalter Dunkelheit zugebracht hatten, die Lichter des Broadway bringt.</v>
      </c>
      <c r="I286" s="1" t="s">
        <v>1404</v>
      </c>
      <c r="J286" s="2" t="b">
        <v>1</v>
      </c>
      <c r="L286" t="str">
        <f>_xlfn.TEXTJOIN("_",TRUE,Table_textAnnotations[[#This Row],[Buch_Key]],Table_textAnnotations[[#This Row],[Anno_Key]],IF(ISBLANK(Table_textAnnotations[[#This Row],[Anno_Page_manuell]]),Table_textAnnotations[[#This Row],[Anno_Page_Auto]],Table_textAnnotations[[#This Row],[Anno_Page_manuell]]))&amp; ".txt"</f>
        <v>6N73PCNZ_BPMQTQKV_111.txt</v>
      </c>
    </row>
    <row r="287" spans="1:12" ht="150" x14ac:dyDescent="0.25">
      <c r="A287" t="s">
        <v>761</v>
      </c>
      <c r="B287" t="s">
        <v>762</v>
      </c>
      <c r="C287">
        <v>2000</v>
      </c>
      <c r="D287" t="s">
        <v>841</v>
      </c>
      <c r="E287" t="s">
        <v>204</v>
      </c>
      <c r="G287" t="s">
        <v>842</v>
      </c>
      <c r="H287" s="1" t="str">
        <f>_xlfn.TEXTJOIN(CHAR(10),FALSE, _xlfn.TEXTSPLIT(Table_textAnnotations[[#This Row],[Anno_Text]], "ABSATZ"))</f>
        <v>Es dürfte uns eigentlich nicht verwundern, dass die Klitoris die Macht liebt oder dass sie einen so komplizierten Charakter hat. Für Frauen ist Sexualität schon immer eine risikoreiche Angelegenheit gewesen. Wir können schwanger werden, wir können uns eine Geschlechtskrankheit holen, wir können uns unsere strammen Lactos verscherzen. Gleichzeitig sind wir Primaten. Wir setzen unsere Sexualität zu weit mehr als nur zum Zweck der Fortpflanzung ein. Wir mögen keine Bonobos sein, aber wir sind mit Sicherheit auch keine einmal pro Jahr lammenden Schafe. Da wir verwundbar sind, brauchen wir effektive Schutzvorrichtungen. Die Klitoris ist unsere weise Ratgeberin. Sie lässt uns wissen, dass Freude eine ernste Angelegenheit ist und dass wir unser Licht, unsere sexuelle Brillanz, nicht unter den Scheffel stellen dürfen. Die Klitoris verarbeitet Informationen aus unterschiedlichen bewussten und unbewussten Quellen - aus der Großhirnrinde, dem Hypothalamus, dem peripheren Nervensystem - und reagiert entsprechend. Wenn du verängstigt bist, stellt sie sich tot. Wenn du desinteressiert oder angewidert bist, bleibt sie stumm. Wenn du erregt und stark bist, wird sie zu einem strammen kleinen Dirigentenstab, der selbstsicher Takt und Tempo angibt, hier schmeichelt, dort antreibt, andante, allegro, crescendo, da capo all'infinito.</v>
      </c>
      <c r="I287" s="1" t="s">
        <v>842</v>
      </c>
      <c r="J287" s="2" t="b">
        <v>1</v>
      </c>
      <c r="L287" t="str">
        <f>_xlfn.TEXTJOIN("_",TRUE,Table_textAnnotations[[#This Row],[Buch_Key]],Table_textAnnotations[[#This Row],[Anno_Key]],IF(ISBLANK(Table_textAnnotations[[#This Row],[Anno_Page_manuell]]),Table_textAnnotations[[#This Row],[Anno_Page_Auto]],Table_textAnnotations[[#This Row],[Anno_Page_manuell]]))&amp; ".txt"</f>
        <v>6N73PCNZ_LL6A2IQ2_112.txt</v>
      </c>
    </row>
    <row r="288" spans="1:12" ht="75" x14ac:dyDescent="0.25">
      <c r="A288" t="s">
        <v>761</v>
      </c>
      <c r="B288" t="s">
        <v>762</v>
      </c>
      <c r="C288">
        <v>2000</v>
      </c>
      <c r="D288" t="s">
        <v>843</v>
      </c>
      <c r="E288" t="s">
        <v>131</v>
      </c>
      <c r="G288" t="s">
        <v>844</v>
      </c>
      <c r="H288" s="1" t="str">
        <f>_xlfn.TEXTJOIN(CHAR(10),FALSE, _xlfn.TEXTSPLIT(Table_textAnnotations[[#This Row],[Anno_Text]], "ABSATZ"))</f>
        <v>Dennoch besteht kein Zweifel, dass der weibliche Sexualtrieb ein komplexes Instrument ist. So vieles beeinflusst ihn: Geistestätigkeit, Stimmung, frühere Erfahrungen, die Erinnyen. Und im Auge dieses ganzen Sturms von Eindrücken sitzt die Klitoris. Sie weiß mehr als die Vagina und ist  dementsprechend eine zuverlässigere Ratgeberin als diese - erinnert euch, dass eine Frau während einer Vergewaltigung feucht  werden kann, dass sie aber so gut wie nie einen Orgasmus erleben wird. Es leuchtet ein, dass es für eine Frau sinnvoller ist, einen wählerischen Geschlechtstrieb zu haben als einen völlig unkritischen oder umgekehrt einen gehemmten.</v>
      </c>
      <c r="I288" s="1" t="s">
        <v>844</v>
      </c>
      <c r="J288" s="2" t="b">
        <v>1</v>
      </c>
      <c r="L288" t="str">
        <f>_xlfn.TEXTJOIN("_",TRUE,Table_textAnnotations[[#This Row],[Buch_Key]],Table_textAnnotations[[#This Row],[Anno_Key]],IF(ISBLANK(Table_textAnnotations[[#This Row],[Anno_Page_manuell]]),Table_textAnnotations[[#This Row],[Anno_Page_Auto]],Table_textAnnotations[[#This Row],[Anno_Page_manuell]]))&amp; ".txt"</f>
        <v>6N73PCNZ_GLKFIS33_113.txt</v>
      </c>
    </row>
    <row r="289" spans="1:12" ht="105" x14ac:dyDescent="0.25">
      <c r="A289" t="s">
        <v>761</v>
      </c>
      <c r="B289" t="s">
        <v>762</v>
      </c>
      <c r="C289">
        <v>2000</v>
      </c>
      <c r="D289" t="s">
        <v>845</v>
      </c>
      <c r="E289" t="s">
        <v>846</v>
      </c>
      <c r="G289" t="s">
        <v>847</v>
      </c>
      <c r="H289" s="1" t="str">
        <f>_xlfn.TEXTJOIN(CHAR(10),FALSE, _xlfn.TEXTSPLIT(Table_textAnnotations[[#This Row],[Anno_Text]], "ABSATZ"))</f>
        <v>Die Klitoris ist flexibel. Sie kann sich unterschiedlichen Lebensräumen, unterschiedlichen kulturellen Normen anpassen. Bei unseren Ahninnen, die einer - für Primaten charakteristischen - vergleichsweise promiskuitiven Lebensweise anhingen, könnte die  Klitoris tatsächlich, wie Hrdy sagte, ein unermüdliches Herumexperimentieren angeregt haben. Anders als Hrdy glaube ich allerdings, dass die Klitoris sich den heutigen Restriktionen der Mo  nogamie ebenso gut anpassen kann: dass sie durchaus die Bande der Liebe und Ehe festigen kann wenn diese Bande den Interessen der Frau förderlich sind. In den Vereinigten Staaten, einem Land, in dem der Institution der Ehe eine fast ans Lächerliche  grenzende Bedeutung beigemessen wird, scheinen verheiratete  Frauen überdurchschnittlich orgasmusfähig zu sein.</v>
      </c>
      <c r="I289" s="1" t="s">
        <v>847</v>
      </c>
      <c r="J289" s="2" t="b">
        <v>0</v>
      </c>
      <c r="L289" t="str">
        <f>_xlfn.TEXTJOIN("_",TRUE,Table_textAnnotations[[#This Row],[Buch_Key]],Table_textAnnotations[[#This Row],[Anno_Key]],IF(ISBLANK(Table_textAnnotations[[#This Row],[Anno_Page_manuell]]),Table_textAnnotations[[#This Row],[Anno_Page_Auto]],Table_textAnnotations[[#This Row],[Anno_Page_manuell]]))&amp; ".txt"</f>
        <v>6N73PCNZ_Q9QLEWSC_114.txt</v>
      </c>
    </row>
    <row r="290" spans="1:12" ht="75" x14ac:dyDescent="0.25">
      <c r="A290" t="s">
        <v>761</v>
      </c>
      <c r="B290" t="s">
        <v>762</v>
      </c>
      <c r="C290">
        <v>2000</v>
      </c>
      <c r="D290" t="s">
        <v>848</v>
      </c>
      <c r="E290" t="s">
        <v>846</v>
      </c>
      <c r="G290" t="s">
        <v>849</v>
      </c>
      <c r="H290" s="1" t="str">
        <f>_xlfn.TEXTJOIN(CHAR(10),FALSE, _xlfn.TEXTSPLIT(Table_textAnnotations[[#This Row],[Anno_Text]], "ABSATZ"))</f>
        <v>Auch ein weiterer Komplex von Forschungsergebnissen spricht dafür, dass die Klitoris mit der Währung »Macht« spekuliert. Eine jüngst von den britischen Wissenschaftlern Robin Baker und  Mark A. Bellis durchgeführte Studie legt die Vermutung nahe,  dass der Orgasmus der Frau eine erstaunliche Möglichkeit bietet,  die Kontrolle über das männliche Sperma auszuüben, indem sie  es aktiv in sich einsaugt oder aber abstößt. Die Forscher glauben,  II4 dass das Timing des weiblichen Orgasmus in Relation zur männlichen Ejakulation mit darüber entscheidet, ob der Samen eine  Chance bekommt, das Ei zu befruchten, oder nicht.</v>
      </c>
      <c r="I290" s="1" t="s">
        <v>849</v>
      </c>
      <c r="J290" s="2" t="b">
        <v>0</v>
      </c>
      <c r="L290" t="str">
        <f>_xlfn.TEXTJOIN("_",TRUE,Table_textAnnotations[[#This Row],[Buch_Key]],Table_textAnnotations[[#This Row],[Anno_Key]],IF(ISBLANK(Table_textAnnotations[[#This Row],[Anno_Page_manuell]]),Table_textAnnotations[[#This Row],[Anno_Page_Auto]],Table_textAnnotations[[#This Row],[Anno_Page_manuell]]))&amp; ".txt"</f>
        <v>6N73PCNZ_IP6PGY7K_114.txt</v>
      </c>
    </row>
    <row r="291" spans="1:12" ht="105" x14ac:dyDescent="0.25">
      <c r="A291" t="s">
        <v>761</v>
      </c>
      <c r="B291" t="s">
        <v>762</v>
      </c>
      <c r="C291">
        <v>2000</v>
      </c>
      <c r="D291" t="s">
        <v>850</v>
      </c>
      <c r="E291" t="s">
        <v>134</v>
      </c>
      <c r="G291" t="s">
        <v>851</v>
      </c>
      <c r="H291" s="1" t="str">
        <f>_xlfn.TEXTJOIN(CHAR(10),FALSE, _xlfn.TEXTSPLIT(Table_textAnnotations[[#This Row],[Anno_Text]], "ABSATZ"))</f>
        <v>In diesem Kapitel habe ich die Begriffe »&gt;Klitoris«, »weiblicher  Orgasmus &lt;&lt; und »weibliche Sexualität« fast synonymisch verwendet, und so wie ich die Sache sehe, sind die drei Dinge zumindest  nicht voneinander zu trennen. Die Klitoris ist das Herz der weiblichen Sexualität, und wir müssen jeden – freudianischen oder  sonstigen - Versuch, ihre Bedeutung zu schmälern, aufs Entschiedenste zurückweisen. Doch die Klitoris transzendiert ihre eigenen anatomischen Grenzen. Andere Nervenbahnen münden in sie und  werden von ihr gespeist. Die fünfzehntausend Fasern des Nervus  pudendus, die den gesamten unteren Beckenraum versorgen, stehen in enger Wechselwirkung mit den Nervenbündeln der Klitoris. Dies erklärt, warum auch der After eine erogene Zone ist. Nerven sind wie Wölfe: Heult einer auf, fällt die gesamte Nachbarschaft in den Gesang ein.</v>
      </c>
      <c r="I291" s="1" t="s">
        <v>1405</v>
      </c>
      <c r="J291" s="2" t="b">
        <v>1</v>
      </c>
      <c r="L291" t="str">
        <f>_xlfn.TEXTJOIN("_",TRUE,Table_textAnnotations[[#This Row],[Buch_Key]],Table_textAnnotations[[#This Row],[Anno_Key]],IF(ISBLANK(Table_textAnnotations[[#This Row],[Anno_Page_manuell]]),Table_textAnnotations[[#This Row],[Anno_Page_Auto]],Table_textAnnotations[[#This Row],[Anno_Page_manuell]]))&amp; ".txt"</f>
        <v>6N73PCNZ_6M2Q54VH_117.txt</v>
      </c>
    </row>
    <row r="292" spans="1:12" ht="45" x14ac:dyDescent="0.25">
      <c r="A292" t="s">
        <v>761</v>
      </c>
      <c r="B292" t="s">
        <v>762</v>
      </c>
      <c r="C292">
        <v>2000</v>
      </c>
      <c r="D292" t="s">
        <v>852</v>
      </c>
      <c r="E292" t="s">
        <v>134</v>
      </c>
      <c r="G292" t="s">
        <v>853</v>
      </c>
      <c r="H292" s="1" t="str">
        <f>_xlfn.TEXTJOIN(CHAR(10),FALSE, _xlfn.TEXTSPLIT(Table_textAnnotations[[#This Row],[Anno_Text]], "ABSATZ"))</f>
        <v>Bei manchen Frauen ist die nähere  Umgebung des Harnröhrenausgangs außerordentlich reizbar, und  da dieses periurethrale Gewebe während des Koitus recht energisch direkt und indirekt - beansprucht wird, könnte eine solche Hypersensibilität bewirken, dass die Frau bereits durch die  bloßen Rein-raus-Bewegungen des Penis, also auch ohne spezielle  Klitorisreizung, problemlos zum Orgasmus kommt.</v>
      </c>
      <c r="I292" s="1" t="s">
        <v>853</v>
      </c>
      <c r="J292" s="2" t="b">
        <v>1</v>
      </c>
      <c r="L292" t="str">
        <f>_xlfn.TEXTJOIN("_",TRUE,Table_textAnnotations[[#This Row],[Buch_Key]],Table_textAnnotations[[#This Row],[Anno_Key]],IF(ISBLANK(Table_textAnnotations[[#This Row],[Anno_Page_manuell]]),Table_textAnnotations[[#This Row],[Anno_Page_Auto]],Table_textAnnotations[[#This Row],[Anno_Page_manuell]]))&amp; ".txt"</f>
        <v>6N73PCNZ_LCIW74NP_117.txt</v>
      </c>
    </row>
    <row r="293" spans="1:12" ht="60" x14ac:dyDescent="0.25">
      <c r="A293" t="s">
        <v>761</v>
      </c>
      <c r="B293" t="s">
        <v>762</v>
      </c>
      <c r="C293">
        <v>2000</v>
      </c>
      <c r="D293" t="s">
        <v>854</v>
      </c>
      <c r="E293" t="s">
        <v>140</v>
      </c>
      <c r="G293" t="s">
        <v>855</v>
      </c>
      <c r="H293" s="1" t="str">
        <f>_xlfn.TEXTJOIN(CHAR(10),FALSE, _xlfn.TEXTSPLIT(Table_textAnnotations[[#This Row],[Anno_Text]], "ABSATZ"))</f>
        <v>ieder andere halten die Existenz  einer eigenständigen, anatomisch lokalisierbaren G-Zone überhaupt für fraglich. Wozu sollten wir uns die Mühe machen, neue  erogene Zonen zu erfinden, sagen sie, wenn die vorhandene Infrastruktur bereits vollkommen genügt? Die Wurzeln der Klitoris reichen schließlich tief und könnten ohne weiteres auch von der Innenseite der Scheide her stimuliert werden. Mit anderen Worten:  Der berühmte G-Punkt könnte schlicht und einfach das andere  Ende der Klitoris sein.</v>
      </c>
      <c r="I293" s="1" t="s">
        <v>855</v>
      </c>
      <c r="J293" s="2" t="b">
        <v>0</v>
      </c>
      <c r="L293" t="str">
        <f>_xlfn.TEXTJOIN("_",TRUE,Table_textAnnotations[[#This Row],[Buch_Key]],Table_textAnnotations[[#This Row],[Anno_Key]],IF(ISBLANK(Table_textAnnotations[[#This Row],[Anno_Page_manuell]]),Table_textAnnotations[[#This Row],[Anno_Page_Auto]],Table_textAnnotations[[#This Row],[Anno_Page_manuell]]))&amp; ".txt"</f>
        <v>6N73PCNZ_HJILJT58_118.txt</v>
      </c>
    </row>
    <row r="294" spans="1:12" ht="195" x14ac:dyDescent="0.25">
      <c r="A294" t="s">
        <v>761</v>
      </c>
      <c r="B294" t="s">
        <v>762</v>
      </c>
      <c r="C294">
        <v>2000</v>
      </c>
      <c r="D294" t="s">
        <v>856</v>
      </c>
      <c r="E294" t="s">
        <v>595</v>
      </c>
      <c r="G294" t="s">
        <v>857</v>
      </c>
      <c r="H294" s="1" t="str">
        <f>_xlfn.TEXTJOIN(CHAR(10),FALSE, _xlfn.TEXTSPLIT(Table_textAnnotations[[#This Row],[Anno_Text]], "ABSATZ"))</f>
        <v>Die Klitoris ist komplex. Sie ist nie bloß eine Klitoris. Wie ihre  Durchblutungsrate steht ihre Größe in keinem erkennbaren Verhältnis zu ihrem Potenzial. Sicher, ein Bonoboweibchen hat eine  gigantische Klitoris, aber die Größe seines guten Stücks könnte  genauso gut eher eine schlichte Signalwirkung für männliche Interessenten bezwecken als einen - gemessen an einem Menschenweibchen stärkeren Lustgewinn für die Trägerin. Bislang hat  noch niemand untersucht, ob Frauen mit großer Klitoris stärkere  und/oder häufigere Orgasmuserlebnisse haben. Wohl ist aber eine  andere Sorte von »Experimenten« durchgeführt worden, die ein  gewisses Licht auf die Frage werfen, ob die Funktion der Form  folgt. Kindern mit ungewöhnlich großer Klitoris wird ihr Auswuchs chirurgisch reduziert zurückgestutzt, tiefergelegt oder  gleich ganz amputiert. Dies sind zwar keine Eingriffe, die wir normalerweise mit der aufgeklärten und fortschrittlichen westlichen  Medizin in Verbindung bringen würden, aber nichtsdestoweniger finden solche Klitoridektomien vergleichsweise häufig statt.  Allein in den Vereinigten Staaten werden jährlich an die zweitausend weibliche Babys in der einen oder anderen Weise chirurgisch »&gt;überarbeitet«&lt;, damit ihre nach Ansicht der Ärzte abnorm vorstehende Klitoris nicht mehr so ins Auge falle. Es existieren zwar keine amtlichen Normen zur Feststellung dessen, was den Tatbestand der Klitorishypertrophie erfülle, aber alles, was über die  verschwiegenen Lippen der Vulva hinausragt, ist ein Kandidat für  eine Klitorisamputation. Wenn ein Baby mit zweideutigen Geschlechtsteilen auf die Welt kommt, war und ist eine chirurgische  Korrektur das normale Prozedere.</v>
      </c>
      <c r="I294" s="1" t="s">
        <v>857</v>
      </c>
      <c r="J294" s="2" t="b">
        <v>0</v>
      </c>
      <c r="L294" t="str">
        <f>_xlfn.TEXTJOIN("_",TRUE,Table_textAnnotations[[#This Row],[Buch_Key]],Table_textAnnotations[[#This Row],[Anno_Key]],IF(ISBLANK(Table_textAnnotations[[#This Row],[Anno_Page_manuell]]),Table_textAnnotations[[#This Row],[Anno_Page_Auto]],Table_textAnnotations[[#This Row],[Anno_Page_manuell]]))&amp; ".txt"</f>
        <v>6N73PCNZ_NIPG5532_119.txt</v>
      </c>
    </row>
    <row r="295" spans="1:12" ht="135" x14ac:dyDescent="0.25">
      <c r="A295" t="s">
        <v>761</v>
      </c>
      <c r="B295" t="s">
        <v>762</v>
      </c>
      <c r="C295">
        <v>2000</v>
      </c>
      <c r="D295" t="s">
        <v>858</v>
      </c>
      <c r="E295" t="s">
        <v>598</v>
      </c>
      <c r="G295" t="s">
        <v>859</v>
      </c>
      <c r="H295" s="1" t="str">
        <f>_xlfn.TEXTJOIN(CHAR(10),FALSE, _xlfn.TEXTSPLIT(Table_textAnnotations[[#This Row],[Anno_Text]], "ABSATZ"))</f>
        <v>Manchmal  werden an solchen jungen Patientinnen gleichzeitig auch andere chirurgische Korrekturen vorgenommen, etwa die Öffnung einer  geschlossenen Scheide, die Reparatur einer verwachsenen Harnröhre oder die Entfernung missgebildeten gonadalen Gewebes.  Während solche Operationen durchaus sinnvoll und zum Teil sogar unerlässlich für die Gesundheit des Kindes sind, hat eine Klitorisreduktion keine andere »Rechtfertigung« als ästhetische Erwägungen. Eine große Klitoris tut niemandem weh, mit Sicherheit  nicht dem Baby. Aber sie sieht eben komisch aus, penisartig, obszön, und den Eltern wird stets nahe gelegt, sie möglichst früh entfernen zu lassen, damit die arme Kleine später nicht unter den  möglichen seelischen Traumata zu leiden habe, die eine Ungewissheit bezüglich ihrer Geschlechtszugehörigkeit mit sich bringen  könnte. Und so dürfen wir uns fragen: Was geschieht mit Mädchen, deren Klitoris chirurgisch verkleinert oder kauterisiert  wird? Verlieren sie die sexuelle Empfindungsfähigkeit? Kann eine  Frau einen Orgasmus haben, wenn sie keine Klitoris mehr besitzt?  Die Klitoris ist komplex.</v>
      </c>
      <c r="I295" s="1" t="s">
        <v>859</v>
      </c>
      <c r="J295" s="2" t="b">
        <v>0</v>
      </c>
      <c r="L295" t="str">
        <f>_xlfn.TEXTJOIN("_",TRUE,Table_textAnnotations[[#This Row],[Buch_Key]],Table_textAnnotations[[#This Row],[Anno_Key]],IF(ISBLANK(Table_textAnnotations[[#This Row],[Anno_Page_manuell]]),Table_textAnnotations[[#This Row],[Anno_Page_Auto]],Table_textAnnotations[[#This Row],[Anno_Page_manuell]]))&amp; ".txt"</f>
        <v>6N73PCNZ_UXVKIIWN_120.txt</v>
      </c>
    </row>
    <row r="296" spans="1:12" ht="240" x14ac:dyDescent="0.25">
      <c r="A296" t="s">
        <v>761</v>
      </c>
      <c r="B296" t="s">
        <v>762</v>
      </c>
      <c r="C296">
        <v>2000</v>
      </c>
      <c r="D296" t="s">
        <v>860</v>
      </c>
      <c r="E296" t="s">
        <v>598</v>
      </c>
      <c r="G296" t="s">
        <v>861</v>
      </c>
      <c r="H296" s="1" t="str">
        <f>_xlfn.TEXTJOIN(CHAR(10),FALSE, _xlfn.TEXTSPLIT(Table_textAnnotations[[#This Row],[Anno_Text]], "ABSATZ"))</f>
        <v>Und die Resultate der noch immer andauernden Umfrage zu den psychophysischen Folgen einer chirurgischen Korrektur von Klitorishypertrophie sind uneinheitlich. Als Beispiel die zwei folgenden Fälle: Cheryl Chase ist eine Computeranalytikerin von Anfang vierzig. Sie trägt das Haar kurz, dazu eine Nickelbrille, Ohrgehänge und einen leuchtend auberginefarbenen Lippenstift. Sie ist auf eine unaufdringliche Weise attraktiv und von einer messerscharfen Intelligenz. Und sie ist wütend. Wie sie sagt, wird sie wohl noch auf dem Sterbebett wütend sein. Cheryl hat zwei X-Chromosomen, die übliche weibliche Ausstattung, und heute könnte man sie auch für nichts anderes als eine Frau halten. Aber aus unbekannten Gründen kam sie mit hermaphroditischen Gonaden teils Eierstock, teils Hoden- und einer so großen Klitoris auf die Welt, dass die Ärzte ihren Eltern zunächst sagten: Es ist ein Junge. Ein knappes Jahr später erkannten Ärzte in einem anderen Krankenhaus: Moment mal, das Kind hat eine normale Scheide nebst Gebärmutter und Eileiter – es ist ein Mädchen. Sie erklärten ihren Eltern: Die anderen Ärzte haben sich geirrt. Sie haben eine Tochter, keinen Sohn. Sie werden ihr einen neuen Namen geben müssen, mit ihr in eine andere Stadt ziehen und wieder von vorn anfangen. Aber geben Sie uns zuerst noch rasch Ihre Einwilligung zu einer kleinen Korrektur ihres Genitales. Nicht lange gezögert. Stattgegeben. »Sie haben mir die Klitoris auf der Stelle entfernt«&lt;, sagt Cheryl mit der leisen Stimme einer Frau, die mit zusammengebissenen Zähnen spricht. »Sie haben an der Teilung der Crura geschnitten, dort, wo die Nerven in den Klitorisschaft münden. Mir ist ein kleiner Rest der Crura geblieben, aber keinerlei Innervierung. Folglich auch keinerlei Gefühl.« Cheryl ist Lesbierin. Sie hat ein aktives Sexualleben, doch einen Orgasmus hat sie noch nie erlebt. Sie hat alles versucht. Sie hat zahllose Ärzte angeschrieben und sie angefleht nachzusehen, ob sie in den Überresten ihrer Klitoris nicht irgendwelche Nervenfasern finden könnten, die sich reaktivieren, wieder zum Leben erwecken ließen.</v>
      </c>
      <c r="I296" s="1" t="s">
        <v>1406</v>
      </c>
      <c r="J296" s="2" t="b">
        <v>1</v>
      </c>
      <c r="K296" t="s">
        <v>1320</v>
      </c>
      <c r="L296" t="str">
        <f>_xlfn.TEXTJOIN("_",TRUE,Table_textAnnotations[[#This Row],[Buch_Key]],Table_textAnnotations[[#This Row],[Anno_Key]],IF(ISBLANK(Table_textAnnotations[[#This Row],[Anno_Page_manuell]]),Table_textAnnotations[[#This Row],[Anno_Page_Auto]],Table_textAnnotations[[#This Row],[Anno_Page_manuell]]))&amp; ".txt"</f>
        <v>6N73PCNZ_WWLJZ2QZ_120.txt</v>
      </c>
    </row>
    <row r="297" spans="1:12" ht="120" x14ac:dyDescent="0.25">
      <c r="A297" t="s">
        <v>761</v>
      </c>
      <c r="B297" t="s">
        <v>762</v>
      </c>
      <c r="C297">
        <v>2000</v>
      </c>
      <c r="D297" t="s">
        <v>862</v>
      </c>
      <c r="E297" t="s">
        <v>603</v>
      </c>
      <c r="G297" t="s">
        <v>863</v>
      </c>
      <c r="H297" s="1" t="str">
        <f>_xlfn.TEXTJOIN(CHAR(10),FALSE, _xlfn.TEXTSPLIT(Table_textAnnotations[[#This Row],[Anno_Text]], "ABSATZ"))</f>
        <v>Auch Martha kam mit einer zu groß geratenen Klitoris auf die Welt eine Folge der hohen Dosen Progesteron, die ihre Mutter während der Schwangerschaft zur Verhütung einer Fehlgeburt eingenommen hatte. Als Säugling hatte Martha eine Klitoris von 1,5 Zentimeter Länge: das dreifache der »normalen« Größe. Nicht direkt ein Fall von Hypertrophie, aber ihre Eltern entschieden, dass sie nicht mit einem so auffälligen Knubbel eingeschult werden sollte, um möglichen Hänseleien vonseiten ihrer Klassenkameradinnen vorzubeugen. Und so wurde sie im Alter von sechs Jahren zurückgestutzt. »Die Ärzte haben die Klitoris an der Basis abgeschnitten«, sagt Martha. »Wenn Sie mich jetzt sehen würden, würden Sie sofort merken, dass da irgendetwas fehlt.« Doch auch wenn das Fleisch dahin ist, lebt der Geist doch weiter. »Ich habe emotionale Narben«&lt;, sagt Martha, »aber ich bin nicht verbittert. Der Grund dafür ist ganz einfach. Ich habe weiterhin klitorale Empfindungen. Ich kann zum Orgasmus kommen.&lt;&lt;</v>
      </c>
      <c r="I297" s="1" t="s">
        <v>1407</v>
      </c>
      <c r="J297" s="2" t="b">
        <v>1</v>
      </c>
      <c r="K297" t="s">
        <v>1320</v>
      </c>
      <c r="L297" t="str">
        <f>_xlfn.TEXTJOIN("_",TRUE,Table_textAnnotations[[#This Row],[Buch_Key]],Table_textAnnotations[[#This Row],[Anno_Key]],IF(ISBLANK(Table_textAnnotations[[#This Row],[Anno_Page_manuell]]),Table_textAnnotations[[#This Row],[Anno_Page_Auto]],Table_textAnnotations[[#This Row],[Anno_Page_manuell]]))&amp; ".txt"</f>
        <v>6N73PCNZ_UTLHHIFF_121.txt</v>
      </c>
    </row>
    <row r="298" spans="1:12" ht="135" x14ac:dyDescent="0.25">
      <c r="A298" t="s">
        <v>761</v>
      </c>
      <c r="B298" t="s">
        <v>762</v>
      </c>
      <c r="C298">
        <v>2000</v>
      </c>
      <c r="D298" t="s">
        <v>864</v>
      </c>
      <c r="E298" t="s">
        <v>606</v>
      </c>
      <c r="G298" t="s">
        <v>865</v>
      </c>
      <c r="H298" s="1" t="str">
        <f>_xlfn.TEXTJOIN(CHAR(10),FALSE, _xlfn.TEXTSPLIT(Table_textAnnotations[[#This Row],[Anno_Text]], "ABSATZ"))</f>
        <v>Cheryl und Martha versuchen durch unermüdliche Aufklärungsarbeit zu verhindern, dass an Babys mit intersexuellen Genitalien plastisch-chirurgische Eingriffe vorgenommen werden,  wie sie selbst sie erleiden mussten. Sie und ihre Mitaktivistinnen  üben Druck auf den Kongress aus, damit endlich ein Gesetz verabschiedet wird, das die Klitoridektomie an Patientinnen, die zu  jung sind, um ihre Einwilligung zu dem Eingriff zu geben (oder  empört zu verweigern), unter Strafe stellen soll. Noch ist ein solches Gesetz nicht in Sicht, aber zumindest gelingt es Cheryl Chase  und ihren Mitstreiterinnen, immer mehr Kinderärzte davon zu  überzeugen, dass der hippokratische Eid - »... ich will mich enthalten jedes willkürlichen Unrechts und jeder anderen Schädigung«&lt;- auch Fälle wie den ihren betrifft, denn kein Mensch weiß,  wie eine bestimmte Klitoris reagieren wird, wenn man anfängt, an  ihr herumzuschnippeln. Eine Säuglingsklitoris, selbst eine hypertrophe, ist ein sehr kleines Betätigungsfeld für ein Skalpell, und  mit all den Nerven und Blutgefäßen, die sich darin auf so engem  Raum befinden, ist ein Schaden schnell geschehen.</v>
      </c>
      <c r="I298" s="1" t="s">
        <v>865</v>
      </c>
      <c r="J298" s="2" t="b">
        <v>0</v>
      </c>
      <c r="L298" t="str">
        <f>_xlfn.TEXTJOIN("_",TRUE,Table_textAnnotations[[#This Row],[Buch_Key]],Table_textAnnotations[[#This Row],[Anno_Key]],IF(ISBLANK(Table_textAnnotations[[#This Row],[Anno_Page_manuell]]),Table_textAnnotations[[#This Row],[Anno_Page_Auto]],Table_textAnnotations[[#This Row],[Anno_Page_manuell]]))&amp; ".txt"</f>
        <v>6N73PCNZ_6S8REJND_122.txt</v>
      </c>
    </row>
    <row r="299" spans="1:12" ht="90" x14ac:dyDescent="0.25">
      <c r="A299" t="s">
        <v>761</v>
      </c>
      <c r="B299" t="s">
        <v>762</v>
      </c>
      <c r="C299">
        <v>2000</v>
      </c>
      <c r="D299" t="s">
        <v>866</v>
      </c>
      <c r="E299" t="s">
        <v>606</v>
      </c>
      <c r="G299" t="s">
        <v>867</v>
      </c>
      <c r="H299" s="1" t="str">
        <f>_xlfn.TEXTJOIN(CHAR(10),FALSE, _xlfn.TEXTSPLIT(Table_textAnnotations[[#This Row],[Anno_Text]], "ABSATZ"))</f>
        <v>Es existieren  keine systematischen Langzeitstudien über die Auswirkungen, die  eine Klitoridektomie auf das spätere Sexualleben der Patientin  hat. Alles, was wir haben, sind Einzelfälle, Anekdoten. Martha  und Cheryl wurde beiden die Klitoris an der Basis abgeschnitten,  doch bei der einen Frau funktioniert sie noch, bei der anderen  nicht. Niemand weiß, warum das so ist. Manche Chirurgen behaupten, ihre heutigen Techniken der Klitorisreduktion hätten  kaum noch etwas mit den brachialen Feldschermethoden von  einst zu tun. Doch Beweise für die Unschädlichkeit ihrer Techniken können sie keine vorlegen. Ebenso wenig können sie beweisen, dass ein Leben mit einer zu groß geratenen Klitoris eine unerträgliche seelische Belastung für das Mädchen oder dessen  Eltern darstellt.</v>
      </c>
      <c r="I299" s="1" t="s">
        <v>867</v>
      </c>
      <c r="J299" s="2" t="b">
        <v>0</v>
      </c>
      <c r="L299" t="str">
        <f>_xlfn.TEXTJOIN("_",TRUE,Table_textAnnotations[[#This Row],[Buch_Key]],Table_textAnnotations[[#This Row],[Anno_Key]],IF(ISBLANK(Table_textAnnotations[[#This Row],[Anno_Page_manuell]]),Table_textAnnotations[[#This Row],[Anno_Page_Auto]],Table_textAnnotations[[#This Row],[Anno_Page_manuell]]))&amp; ".txt"</f>
        <v>6N73PCNZ_349R9XVA_122.txt</v>
      </c>
    </row>
    <row r="300" spans="1:12" ht="30" x14ac:dyDescent="0.25">
      <c r="A300" t="s">
        <v>761</v>
      </c>
      <c r="B300" t="s">
        <v>762</v>
      </c>
      <c r="C300">
        <v>2000</v>
      </c>
      <c r="D300" t="s">
        <v>868</v>
      </c>
      <c r="E300" t="s">
        <v>606</v>
      </c>
      <c r="G300" t="s">
        <v>869</v>
      </c>
      <c r="H300" s="1" t="str">
        <f>_xlfn.TEXTJOIN(CHAR(10),FALSE, _xlfn.TEXTSPLIT(Table_textAnnotations[[#This Row],[Anno_Text]], "ABSATZ"))</f>
        <v>Was macht unsere Klitoris, unser Orchideengriffel, unsere halb verborgene korinthische Säule, eigentlich so verwundbar? Wie viele große Künstler ist die Klitoris erst nach ihrem Tod - ihrer Ermordung - zu wirklichem Ruhm gelangt.</v>
      </c>
      <c r="I300" s="1" t="s">
        <v>869</v>
      </c>
      <c r="J300" s="2" t="b">
        <v>0</v>
      </c>
      <c r="L300" t="str">
        <f>_xlfn.TEXTJOIN("_",TRUE,Table_textAnnotations[[#This Row],[Buch_Key]],Table_textAnnotations[[#This Row],[Anno_Key]],IF(ISBLANK(Table_textAnnotations[[#This Row],[Anno_Page_manuell]]),Table_textAnnotations[[#This Row],[Anno_Page_Auto]],Table_textAnnotations[[#This Row],[Anno_Page_manuell]]))&amp; ".txt"</f>
        <v>6N73PCNZ_U6MKKHTQ_122.txt</v>
      </c>
    </row>
    <row r="301" spans="1:12" ht="30" x14ac:dyDescent="0.25">
      <c r="A301" t="s">
        <v>761</v>
      </c>
      <c r="B301" t="s">
        <v>762</v>
      </c>
      <c r="C301">
        <v>2000</v>
      </c>
      <c r="D301" t="s">
        <v>870</v>
      </c>
      <c r="E301" t="s">
        <v>871</v>
      </c>
      <c r="G301" t="s">
        <v>872</v>
      </c>
      <c r="H301" s="1" t="str">
        <f>_xlfn.TEXTJOIN(CHAR(10),FALSE, _xlfn.TEXTSPLIT(Table_textAnnotations[[#This Row],[Anno_Text]], "ABSATZ"))</f>
        <v>Jetzt haben wir in Amerika ein Selbstbeweihräucherungsgesetz, das die Durchführung ritueller  Genitalverstümmelung nach afrikanischem Muster unter Strafe  stellt - nicht jedoch die medizinisch empfohlene Verstümmelung  mit hypertropher Klitoris geborener Mädchen.</v>
      </c>
      <c r="I301" s="1" t="s">
        <v>872</v>
      </c>
      <c r="J301" s="2" t="b">
        <v>0</v>
      </c>
      <c r="L301" t="str">
        <f>_xlfn.TEXTJOIN("_",TRUE,Table_textAnnotations[[#This Row],[Buch_Key]],Table_textAnnotations[[#This Row],[Anno_Key]],IF(ISBLANK(Table_textAnnotations[[#This Row],[Anno_Page_manuell]]),Table_textAnnotations[[#This Row],[Anno_Page_Auto]],Table_textAnnotations[[#This Row],[Anno_Page_manuell]]))&amp; ".txt"</f>
        <v>6N73PCNZ_BNXH658Q_123.txt</v>
      </c>
    </row>
    <row r="302" spans="1:12" ht="135" x14ac:dyDescent="0.25">
      <c r="A302" t="s">
        <v>761</v>
      </c>
      <c r="B302" t="s">
        <v>762</v>
      </c>
      <c r="C302">
        <v>2000</v>
      </c>
      <c r="D302" t="s">
        <v>873</v>
      </c>
      <c r="E302" t="s">
        <v>871</v>
      </c>
      <c r="G302" t="s">
        <v>874</v>
      </c>
      <c r="H302" s="1" t="str">
        <f>_xlfn.TEXTJOIN(CHAR(10),FALSE, _xlfn.TEXTSPLIT(Table_textAnnotations[[#This Row],[Anno_Text]], "ABSATZ"))</f>
        <v>[Kontext: FGM/C]
Die Prozedur wird in unterschiedlichen Abstufungen der Gründlichkeit durchgeführt. Die »harmloseste«&lt; Form ist die Klitoridektomie, also die partielle oder vollständige Entfernung der Klitoris. Bei der mittelschweren Verstümmelung werden zusammen mit der Klitoris auch die kleinen Schamlippen herausgeschnitten. Die Infibulation schließlich ist die grauenvollste Methode: Hier werden Klitoris und kleine Schamlippen abgehackt und dann die Ränder der großen Schamlippen abgehäutet, damit sie sich über Harnröhrenausgang und Scheide wie eine klaffende Wunde zusammennähen lassen und nur ein kleines Loch für den Austritt von Urin und Menstruationsblut offen bleibt. Wenn das infibulierte Mädchen irgendwann heiratet und dem Penis des Ehemannes Einlass gewähren muss, werden die Fäden gezogen, und die vernarbte Haut der großen Schamlippen wird ein Stück weit wieder aufgerissen.</v>
      </c>
      <c r="I302" s="1" t="s">
        <v>1379</v>
      </c>
      <c r="J302" s="2" t="b">
        <v>0</v>
      </c>
      <c r="L302" t="str">
        <f>_xlfn.TEXTJOIN("_",TRUE,Table_textAnnotations[[#This Row],[Buch_Key]],Table_textAnnotations[[#This Row],[Anno_Key]],IF(ISBLANK(Table_textAnnotations[[#This Row],[Anno_Page_manuell]]),Table_textAnnotations[[#This Row],[Anno_Page_Auto]],Table_textAnnotations[[#This Row],[Anno_Page_manuell]]))&amp; ".txt"</f>
        <v>6N73PCNZ_WFTZPNBY_123.txt</v>
      </c>
    </row>
    <row r="303" spans="1:12" ht="120" x14ac:dyDescent="0.25">
      <c r="A303" t="s">
        <v>761</v>
      </c>
      <c r="B303" t="s">
        <v>762</v>
      </c>
      <c r="C303">
        <v>2000</v>
      </c>
      <c r="D303" t="s">
        <v>875</v>
      </c>
      <c r="E303" t="s">
        <v>876</v>
      </c>
      <c r="G303" t="s">
        <v>877</v>
      </c>
      <c r="H303" s="1" t="str">
        <f>_xlfn.TEXTJOIN(CHAR(10),FALSE, _xlfn.TEXTSPLIT(Table_textAnnotations[[#This Row],[Anno_Text]], "ABSATZ"))</f>
        <v>Nach Auskunft ihrer Verfechter dient die Genitalverstümmelung einem zweifachen Zweck. Zum einen soll sie die Frau »zähmen«, indem sie ihre angeborene Lüsternheit abtötet und ihr jede Lust auf außereheliche Affären gleich von vornherein austreibt. Im Abendland weniger bekannt ist der kosmetische Aspekt der Amputation - der Wunsch, den äußerlichen Unterschied zwischen Frau und Mann noch weiter zu akzentuieren. Die Entfernung der Klitoris, der weiblichen Entsprechung des Penis, ist der Anfang. Durch die Beseitigung der Schamlippen, die an einen Hodensack erinnern können, wird die Polarisierung bis zu ihrem Extrem getrieben. Keine Auswüchse, keine Taschen, keine Unklarheiten. Wie Fotos von infibulierten Frauen zeigen, kann der Eingriff tatsächlich einen glatten, makellos gerundeten Schoß ergeben, der an einem infantilen Ideal von Weiblichkeit gemessen - hyperfeminin aussieht. Tatsächlich erinnert er an nichts so sehr wie an diesen plastikgewordenen Inbegriff weiblicher Asexualität namens Barbie.</v>
      </c>
      <c r="I303" s="1" t="s">
        <v>877</v>
      </c>
      <c r="J303" s="2" t="b">
        <v>0</v>
      </c>
      <c r="L303" t="str">
        <f>_xlfn.TEXTJOIN("_",TRUE,Table_textAnnotations[[#This Row],[Buch_Key]],Table_textAnnotations[[#This Row],[Anno_Key]],IF(ISBLANK(Table_textAnnotations[[#This Row],[Anno_Page_manuell]]),Table_textAnnotations[[#This Row],[Anno_Page_Auto]],Table_textAnnotations[[#This Row],[Anno_Page_manuell]]))&amp; ".txt"</f>
        <v>6N73PCNZ_9SX85W37_124.txt</v>
      </c>
    </row>
    <row r="304" spans="1:12" ht="105" x14ac:dyDescent="0.25">
      <c r="A304" t="s">
        <v>761</v>
      </c>
      <c r="B304" t="s">
        <v>762</v>
      </c>
      <c r="C304">
        <v>2000</v>
      </c>
      <c r="D304" t="s">
        <v>878</v>
      </c>
      <c r="E304" t="s">
        <v>611</v>
      </c>
      <c r="G304" t="s">
        <v>879</v>
      </c>
      <c r="H304" s="1" t="str">
        <f>_xlfn.TEXTJOIN(CHAR(10),FALSE, _xlfn.TEXTSPLIT(Table_textAnnotations[[#This Row],[Anno_Text]], "ABSATZ"))</f>
        <v>Ich bin eine überzeugte Pragmatikerin, aber die Klitoris ist idealistisch, utopiegläubig, und ein schöner Wunschtraum ist schließlich schwer totzukriegen. Was uns ein paradoxes Argument gegen  die Verstümmelung weiblicher Genitalien liefern könnte: Der Eingriff funktioniert nicht immer. Indem man die Klitoris im Fleisch  zerstört, zerstört man sie nicht unbedingt auch im Geist. Wie  Martha Coventry bezeichnen sich auch manche Afrikanerinnen, denen die Klitoris abgenommen wurde, ja sogar welche, die infibuliert wurden, als erotische Wesen, die den Sex genießen und die Fähigkeit zum Orgasmus - zu extrem intensiven Orgasmen sogar,  wie sie hinzufügen - nicht eingebüẞt haben. Ihre Phantomklitorides scheinen wie der Geist von Hamlets Vater zu sein: hartnäckig,  stets gegenwärtig, durch nichts zu besänftigen.</v>
      </c>
      <c r="I304" s="1" t="s">
        <v>879</v>
      </c>
      <c r="J304" s="2" t="b">
        <v>1</v>
      </c>
      <c r="L304" t="str">
        <f>_xlfn.TEXTJOIN("_",TRUE,Table_textAnnotations[[#This Row],[Buch_Key]],Table_textAnnotations[[#This Row],[Anno_Key]],IF(ISBLANK(Table_textAnnotations[[#This Row],[Anno_Page_manuell]]),Table_textAnnotations[[#This Row],[Anno_Page_Auto]],Table_textAnnotations[[#This Row],[Anno_Page_manuell]]))&amp; ".txt"</f>
        <v>6N73PCNZ_CM9Y85YE_126.txt</v>
      </c>
    </row>
    <row r="305" spans="1:12" ht="45" x14ac:dyDescent="0.25">
      <c r="A305" t="s">
        <v>761</v>
      </c>
      <c r="B305" t="s">
        <v>762</v>
      </c>
      <c r="C305">
        <v>2000</v>
      </c>
      <c r="D305" t="s">
        <v>880</v>
      </c>
      <c r="E305" t="s">
        <v>611</v>
      </c>
      <c r="G305" t="s">
        <v>881</v>
      </c>
      <c r="H305" s="1" t="str">
        <f>_xlfn.TEXTJOIN(CHAR(10),FALSE, _xlfn.TEXTSPLIT(Table_textAnnotations[[#This Row],[Anno_Text]], "ABSATZ"))</f>
        <v>Und wenn eine Frau [nach FGM/C] ihre Fähigkeit, den Orgasmus zu erleben, nicht verliert und dennoch nicht - o Wunder! - den Weg des Berberaffenweibchens einschlägt, dann können wir darin vielleicht den Beweis dafür sehen, dass die Klitoris keine Macht über die Frau besitzt, nicht die geringste Macht - außer derjenigen, die sie von ihr empfängt und die sie ihr zurückgibt.</v>
      </c>
      <c r="I305" s="1" t="s">
        <v>881</v>
      </c>
      <c r="J305" s="2" t="b">
        <v>0</v>
      </c>
      <c r="L305" t="str">
        <f>_xlfn.TEXTJOIN("_",TRUE,Table_textAnnotations[[#This Row],[Buch_Key]],Table_textAnnotations[[#This Row],[Anno_Key]],IF(ISBLANK(Table_textAnnotations[[#This Row],[Anno_Page_manuell]]),Table_textAnnotations[[#This Row],[Anno_Page_Auto]],Table_textAnnotations[[#This Row],[Anno_Page_manuell]]))&amp; ".txt"</f>
        <v>6N73PCNZ_V32EX8EV_126.txt</v>
      </c>
    </row>
    <row r="306" spans="1:12" ht="180" x14ac:dyDescent="0.25">
      <c r="A306" t="s">
        <v>882</v>
      </c>
      <c r="B306" t="s">
        <v>883</v>
      </c>
      <c r="C306">
        <v>2000</v>
      </c>
      <c r="D306" t="s">
        <v>884</v>
      </c>
      <c r="E306" t="s">
        <v>412</v>
      </c>
      <c r="G306" t="s">
        <v>885</v>
      </c>
      <c r="H306" s="1" t="str">
        <f>_xlfn.TEXTJOIN(CHAR(10),FALSE, _xlfn.TEXTSPLIT(Table_textAnnotations[[#This Row],[Anno_Text]], "ABSATZ"))</f>
        <v>[Kontext: Freuds Auffassungen]
&gt;&gt;Ich zweifle selbst daran, daß das weibliche Kind unter dem Einflusse der Verführung zu etwas anderem als zur Klitorismasturbation gelangen kann, es sei denn ganz ausnahmsweise.&lt;&lt;5
Drei Abhandlungen zur Sexualtheorie, a.a.O., S. 121 
Anschließend spricht Freud über die Pubertät, die beim Jungen einen »großen Vorstoß der Libido« bringt und beim Mädchen eine »neuerliche Verdrängungswelle&lt;&lt;, die die Klitorissexualität betrifft. 
&gt;&gt;Es ist ein Stück männlichen Sexuallebens, was dabei der Verdrängung verfällt. Die bei dieser Pubertätsverdrängung des Weibes geschaffene Verstärkung der Sexualhemmnisse ergibt dann einen Reiz für die Libido des Mannes und nötigt dieselbe zur Steigerung ihrer Leistungen: mit der Höhe der Libido. steigt dann auch die Sexualüberschätzung, die nur für das sich weigernde, seine Sexualität verleugnende Weib im vollen Maße zu haben ist.&lt;&lt;6
 Drei Abhandlungen zur Sexualtheorie, a.a.O., S. 122</v>
      </c>
      <c r="I306" s="1" t="s">
        <v>1380</v>
      </c>
      <c r="J306" s="2" t="b">
        <v>0</v>
      </c>
      <c r="L306" t="str">
        <f>_xlfn.TEXTJOIN("_",TRUE,Table_textAnnotations[[#This Row],[Buch_Key]],Table_textAnnotations[[#This Row],[Anno_Key]],IF(ISBLANK(Table_textAnnotations[[#This Row],[Anno_Page_manuell]]),Table_textAnnotations[[#This Row],[Anno_Page_Auto]],Table_textAnnotations[[#This Row],[Anno_Page_manuell]]))&amp; ".txt"</f>
        <v>T3XXIKBK_JDNSDJCJ_57.txt</v>
      </c>
    </row>
    <row r="307" spans="1:12" ht="120" x14ac:dyDescent="0.25">
      <c r="A307" t="s">
        <v>882</v>
      </c>
      <c r="B307" t="s">
        <v>883</v>
      </c>
      <c r="C307">
        <v>2000</v>
      </c>
      <c r="D307" t="s">
        <v>886</v>
      </c>
      <c r="E307" t="s">
        <v>412</v>
      </c>
      <c r="G307" t="s">
        <v>887</v>
      </c>
      <c r="H307" s="1" t="str">
        <f>_xlfn.TEXTJOIN(CHAR(10),FALSE, _xlfn.TEXTSPLIT(Table_textAnnotations[[#This Row],[Anno_Text]], "ABSATZ"))</f>
        <v>[Kontext: Freuds Auffassungen]
Die Sensibilität der Klitoris 
Freud sagt, daß in der Pubertät bei der Frau eine Art Regression auftritt. &gt;&gt;Die Klitoris behält dann die Rolle, wenn sie beim endlich zugelassenen Sexualakt selbst erregt wird, diese Erregung an die benachbarten weiblichen Teile weiter zu leiten, etwa wie ein Span Kienholz dazu benützt werden kann, das härtere Brennholz in Brand zu setzen. Es nimmt oft eine gewisse Zeit in Anspruch, bis sich diese Übertragung vollzogen hat, während welcher dann das junge Weib anästhetisch ist. Diese Anästhesie kann eine dauernde werden, wenn die Klitoriszone ihre Erregbarkeit abzugeben sich weigert, was gerade durch ausgiebige Betätigung im Kinderleben vorbereitet wird.7 
Drei Abhandlungen zur Sexualtheorie, a.a.O., S. 122</v>
      </c>
      <c r="I307" s="1" t="s">
        <v>1339</v>
      </c>
      <c r="J307" s="2" t="b">
        <v>0</v>
      </c>
      <c r="L307" t="str">
        <f>_xlfn.TEXTJOIN("_",TRUE,Table_textAnnotations[[#This Row],[Buch_Key]],Table_textAnnotations[[#This Row],[Anno_Key]],IF(ISBLANK(Table_textAnnotations[[#This Row],[Anno_Page_manuell]]),Table_textAnnotations[[#This Row],[Anno_Page_Auto]],Table_textAnnotations[[#This Row],[Anno_Page_manuell]]))&amp; ".txt"</f>
        <v>T3XXIKBK_968XIQMP_57.txt</v>
      </c>
    </row>
    <row r="308" spans="1:12" ht="60" x14ac:dyDescent="0.25">
      <c r="A308" t="s">
        <v>882</v>
      </c>
      <c r="B308" t="s">
        <v>883</v>
      </c>
      <c r="C308">
        <v>2000</v>
      </c>
      <c r="D308" t="s">
        <v>888</v>
      </c>
      <c r="E308" t="s">
        <v>364</v>
      </c>
      <c r="G308" t="s">
        <v>889</v>
      </c>
      <c r="H308" s="1" t="str">
        <f>_xlfn.TEXTJOIN(CHAR(10),FALSE, _xlfn.TEXTSPLIT(Table_textAnnotations[[#This Row],[Anno_Text]], "ABSATZ"))</f>
        <v>Die Sexualität des Mädchens durchläuft, was die erogenen Zonen betrifft, zwei Phasen; die erste Phase gehört der Klitoris, die zweite der Vagina: &gt;&gt;Wir halten uns für berechtigt anzunehmen, daß die Vagina durch langeJahre so gut wie nicht vorhanden ist, vielleicht erst zur Zeit der Pubertät Empfindungen liefert. In letzter Zeit mehren sich allerdings die Stimmen der Beobachter, die vaginale Regungen auch in diese frühen Jahre verlegen.&lt;&lt;</v>
      </c>
      <c r="I308" s="1" t="s">
        <v>889</v>
      </c>
      <c r="J308" s="2" t="b">
        <v>0</v>
      </c>
      <c r="L308" t="str">
        <f>_xlfn.TEXTJOIN("_",TRUE,Table_textAnnotations[[#This Row],[Buch_Key]],Table_textAnnotations[[#This Row],[Anno_Key]],IF(ISBLANK(Table_textAnnotations[[#This Row],[Anno_Page_manuell]]),Table_textAnnotations[[#This Row],[Anno_Page_Auto]],Table_textAnnotations[[#This Row],[Anno_Page_manuell]]))&amp; ".txt"</f>
        <v>T3XXIKBK_CXDFF8TU_58.txt</v>
      </c>
    </row>
    <row r="309" spans="1:12" ht="105" x14ac:dyDescent="0.25">
      <c r="A309" t="s">
        <v>882</v>
      </c>
      <c r="B309" t="s">
        <v>883</v>
      </c>
      <c r="C309">
        <v>2000</v>
      </c>
      <c r="D309" t="s">
        <v>890</v>
      </c>
      <c r="E309" t="s">
        <v>638</v>
      </c>
      <c r="G309" t="s">
        <v>891</v>
      </c>
      <c r="H309" s="1" t="str">
        <f>_xlfn.TEXTJOIN(CHAR(10),FALSE, _xlfn.TEXTSPLIT(Table_textAnnotations[[#This Row],[Anno_Text]], "ABSATZ"))</f>
        <v>[Kontext: Freuds Auffassungen -&gt; Die präödipale Vorzeit]
Hinzu kommt die Entdeckung der eigenen phallischen Masturbation an der Klitoris, die mit oder ohne verführerische Beteiligung von Kinderfrauen oder der Mutter geschieht; diese wollen die Mädchen entweder von sich abhängig machen oder durch eine zu strenge Überwachung ein Verbot der Masturbation durchsetzen.
[...]
Über die weibliche Sexualität, GW XIV, S.520-532</v>
      </c>
      <c r="I309" s="1" t="s">
        <v>1381</v>
      </c>
      <c r="J309" s="2" t="b">
        <v>0</v>
      </c>
      <c r="L309" t="str">
        <f>_xlfn.TEXTJOIN("_",TRUE,Table_textAnnotations[[#This Row],[Buch_Key]],Table_textAnnotations[[#This Row],[Anno_Key]],IF(ISBLANK(Table_textAnnotations[[#This Row],[Anno_Page_manuell]]),Table_textAnnotations[[#This Row],[Anno_Page_Auto]],Table_textAnnotations[[#This Row],[Anno_Page_manuell]]))&amp; ".txt"</f>
        <v>T3XXIKBK_86TGQW8Y_59.txt</v>
      </c>
    </row>
    <row r="310" spans="1:12" ht="150" x14ac:dyDescent="0.25">
      <c r="A310" t="s">
        <v>882</v>
      </c>
      <c r="B310" t="s">
        <v>883</v>
      </c>
      <c r="C310">
        <v>2000</v>
      </c>
      <c r="D310" t="s">
        <v>892</v>
      </c>
      <c r="E310" t="s">
        <v>638</v>
      </c>
      <c r="G310" t="s">
        <v>893</v>
      </c>
      <c r="H310" s="1" t="str">
        <f>_xlfn.TEXTJOIN(CHAR(10),FALSE, _xlfn.TEXTSPLIT(Table_textAnnotations[[#This Row],[Anno_Text]], "ABSATZ"))</f>
        <v>[Kontext: Freuds Auffassungen]
Zur Frigidität
&gt;&gt;Es ist bekannt, daß die Anästhesie der Frauen häufig nur eine scheinbare, eine lokale ist. Sie sind anästhetisch am Scheideneingang, aber keineswegs unerregbar von der Klitoris oder selbst von anderen Zonen aus. Zu diesen erogenen Anlässen der Anästhesie gesellen sich dann noch die psychischen, gleichfalls durch Verdrängung bedingten. Ist die Übertragung der erogenen Reizbarkeit von der Klitoris auf den Scheideneingang gelungen, so hat damit das Weib seine für die spätere Sexualbetätigung leitende Zone gewechselt, während der Mann die seinige von der Kindheit an beibehalten hat. In diesem Wechsel der leitenden erogenen Zone sowie in dem Verdrängungsschub der Pubertät, der gleichsam die infantile Männlichkeit beiseite schafft, liegen die Hauptbedingungen für die Bevorzugung des Weibes zur Neurose, insbesondere zur Hysterie. Diese Bedingungen hängen also mit dem Wesen der Weiblichkeit innigst zusammen.&lt;&lt;
Drei Abhandlungen zur Sexualtheorie, a.a.O., S. 122 f.</v>
      </c>
      <c r="I310" s="1" t="s">
        <v>1340</v>
      </c>
      <c r="J310" s="2" t="b">
        <v>0</v>
      </c>
      <c r="L310" t="str">
        <f>_xlfn.TEXTJOIN("_",TRUE,Table_textAnnotations[[#This Row],[Buch_Key]],Table_textAnnotations[[#This Row],[Anno_Key]],IF(ISBLANK(Table_textAnnotations[[#This Row],[Anno_Page_manuell]]),Table_textAnnotations[[#This Row],[Anno_Page_Auto]],Table_textAnnotations[[#This Row],[Anno_Page_manuell]]))&amp; ".txt"</f>
        <v>T3XXIKBK_QMGI3I87_59.txt</v>
      </c>
    </row>
    <row r="311" spans="1:12" ht="30" x14ac:dyDescent="0.25">
      <c r="A311" t="s">
        <v>882</v>
      </c>
      <c r="B311" t="s">
        <v>883</v>
      </c>
      <c r="C311">
        <v>2000</v>
      </c>
      <c r="D311" t="s">
        <v>894</v>
      </c>
      <c r="E311" t="s">
        <v>651</v>
      </c>
      <c r="G311" t="s">
        <v>895</v>
      </c>
      <c r="H311" s="1" t="str">
        <f>_xlfn.TEXTJOIN(CHAR(10),FALSE, _xlfn.TEXTSPLIT(Table_textAnnotations[[#This Row],[Anno_Text]], "ABSATZ"))</f>
        <v>Kein Wunder also, daß man in diesem sozialen Kontext, in dem die ersten  psychoanalytischen Beobachtungen gemacht wurden, die Sexualität der Frau  als infantil und auf die Klitoris reduziert ansah.</v>
      </c>
      <c r="I311" s="1" t="s">
        <v>895</v>
      </c>
      <c r="J311" s="2" t="b">
        <v>0</v>
      </c>
      <c r="L311" t="str">
        <f>_xlfn.TEXTJOIN("_",TRUE,Table_textAnnotations[[#This Row],[Buch_Key]],Table_textAnnotations[[#This Row],[Anno_Key]],IF(ISBLANK(Table_textAnnotations[[#This Row],[Anno_Page_manuell]]),Table_textAnnotations[[#This Row],[Anno_Page_Auto]],Table_textAnnotations[[#This Row],[Anno_Page_manuell]]))&amp; ".txt"</f>
        <v>T3XXIKBK_KGXC2KJC_66.txt</v>
      </c>
    </row>
    <row r="312" spans="1:12" ht="30" x14ac:dyDescent="0.25">
      <c r="A312" t="s">
        <v>882</v>
      </c>
      <c r="B312" t="s">
        <v>883</v>
      </c>
      <c r="C312">
        <v>2000</v>
      </c>
      <c r="D312" t="s">
        <v>896</v>
      </c>
      <c r="E312" t="s">
        <v>381</v>
      </c>
      <c r="F312">
        <v>82</v>
      </c>
      <c r="G312" t="s">
        <v>897</v>
      </c>
      <c r="H312" s="1" t="str">
        <f>_xlfn.TEXTJOIN(CHAR(10),FALSE, _xlfn.TEXTSPLIT(Table_textAnnotations[[#This Row],[Anno_Text]], "ABSATZ"))</f>
        <v>Wahrscheinlich spürt das kleine Mädchen, daß seine Vagina ringförmig  anschwillt und seine Klitoris erektionsfähig ist, wenn Männer anwesend sind  oder es in den Arm nehmen.</v>
      </c>
      <c r="I312" s="1" t="s">
        <v>897</v>
      </c>
      <c r="J312" s="2" t="b">
        <v>0</v>
      </c>
      <c r="L312" t="str">
        <f>_xlfn.TEXTJOIN("_",TRUE,Table_textAnnotations[[#This Row],[Buch_Key]],Table_textAnnotations[[#This Row],[Anno_Key]],IF(ISBLANK(Table_textAnnotations[[#This Row],[Anno_Page_manuell]]),Table_textAnnotations[[#This Row],[Anno_Page_Auto]],Table_textAnnotations[[#This Row],[Anno_Page_manuell]]))&amp; ".txt"</f>
        <v>T3XXIKBK_TGTHYQM9_82.txt</v>
      </c>
    </row>
    <row r="313" spans="1:12" ht="45" x14ac:dyDescent="0.25">
      <c r="A313" t="s">
        <v>882</v>
      </c>
      <c r="B313" t="s">
        <v>883</v>
      </c>
      <c r="C313">
        <v>2000</v>
      </c>
      <c r="D313" t="s">
        <v>898</v>
      </c>
      <c r="E313" t="s">
        <v>95</v>
      </c>
      <c r="F313">
        <v>84</v>
      </c>
      <c r="G313" t="s">
        <v>899</v>
      </c>
      <c r="H313" s="1" t="str">
        <f>_xlfn.TEXTJOIN(CHAR(10),FALSE, _xlfn.TEXTSPLIT(Table_textAnnotations[[#This Row],[Anno_Text]], "ABSATZ"))</f>
        <v>Die libidinösen, präobjektalen Triebe organisieren sich, vor allem die primären narziẞtischen Triebe, deren erotischer Mittelpunkt die nach außen gewölbten Körperregionen und die schleimigen Körperöffnungen sind, was sich durch die  phallische Anschwellung der Brustwarzen und der Klitoris sowie durch die  ringförmige Anschwellung des Mundes und der Vulva manifestiert.</v>
      </c>
      <c r="I313" s="1" t="s">
        <v>899</v>
      </c>
      <c r="J313" s="2" t="b">
        <v>0</v>
      </c>
      <c r="L313" t="str">
        <f>_xlfn.TEXTJOIN("_",TRUE,Table_textAnnotations[[#This Row],[Buch_Key]],Table_textAnnotations[[#This Row],[Anno_Key]],IF(ISBLANK(Table_textAnnotations[[#This Row],[Anno_Page_manuell]]),Table_textAnnotations[[#This Row],[Anno_Page_Auto]],Table_textAnnotations[[#This Row],[Anno_Page_manuell]]))&amp; ".txt"</f>
        <v>T3XXIKBK_ZG5MTEGY_84.txt</v>
      </c>
    </row>
    <row r="314" spans="1:12" ht="75" x14ac:dyDescent="0.25">
      <c r="A314" t="s">
        <v>882</v>
      </c>
      <c r="B314" t="s">
        <v>883</v>
      </c>
      <c r="C314">
        <v>2000</v>
      </c>
      <c r="D314" t="s">
        <v>900</v>
      </c>
      <c r="E314" t="s">
        <v>901</v>
      </c>
      <c r="F314">
        <v>90</v>
      </c>
      <c r="G314" t="s">
        <v>902</v>
      </c>
      <c r="H314" s="1" t="str">
        <f>_xlfn.TEXTJOIN(CHAR(10),FALSE, _xlfn.TEXTSPLIT(Table_textAnnotations[[#This Row],[Anno_Text]], "ABSATZ"))</f>
        <v>[Kontext: Zweite Kindheitsphase, Penisneid]
Der Mangel verbindet Mädchen und Jungen auf der Suche nach diesem vielleicht versteckten, vielleicht auch abgetrennten phallischen Teil. Das Mädchen zupft an seinen Schamlippen und an dem &gt;&gt;Knopf«&lt;, der Klitoris. Durch die Reizung der Klitoris entdeckt das Mädchen das lustbetonte Anschwellen der Klitoris, so daß es eine Zeitlang hofft, daß hier ein zentrifugaler Penis im Wachsen ist.</v>
      </c>
      <c r="I314" s="1" t="s">
        <v>1382</v>
      </c>
      <c r="J314" s="2" t="b">
        <v>0</v>
      </c>
      <c r="L314" t="str">
        <f>_xlfn.TEXTJOIN("_",TRUE,Table_textAnnotations[[#This Row],[Buch_Key]],Table_textAnnotations[[#This Row],[Anno_Key]],IF(ISBLANK(Table_textAnnotations[[#This Row],[Anno_Page_manuell]]),Table_textAnnotations[[#This Row],[Anno_Page_Auto]],Table_textAnnotations[[#This Row],[Anno_Page_manuell]]))&amp; ".txt"</f>
        <v>T3XXIKBK_QCWA8YVA_90.txt</v>
      </c>
    </row>
    <row r="315" spans="1:12" ht="90" x14ac:dyDescent="0.25">
      <c r="A315" t="s">
        <v>882</v>
      </c>
      <c r="B315" t="s">
        <v>883</v>
      </c>
      <c r="C315">
        <v>2000</v>
      </c>
      <c r="D315" t="s">
        <v>903</v>
      </c>
      <c r="E315" t="s">
        <v>904</v>
      </c>
      <c r="F315">
        <v>91</v>
      </c>
      <c r="G315" t="s">
        <v>905</v>
      </c>
      <c r="H315" s="1" t="str">
        <f>_xlfn.TEXTJOIN(CHAR(10),FALSE, _xlfn.TEXTSPLIT(Table_textAnnotations[[#This Row],[Anno_Text]], "ABSATZ"))</f>
        <v>[Kontext: Zweite Kindheitsphase]
Zahlreiche Beobachtungen bestätigen, daß ein Mädchen, welches weiß, daß es den Namen des Vaters trägt und daß der Name an seinen eigenen Vornamen angehängt ist, sehr schnell seine sexuelle Beschaffenheitakzeptiert, wenn es die Sicherheit besitzt, daß es vom Vater so gewünschtwurde, wie es ist: als ein Mädchen ohne Penis, so wie die Mutter. Das Mädchen nimmt die Form seiner Vulva, ein »Knopf mit einem Loch«, wie ein väterliches Geschenk und eine mütterliche Anerkennung an.</v>
      </c>
      <c r="I315" s="1" t="s">
        <v>1383</v>
      </c>
      <c r="J315" s="2" t="b">
        <v>0</v>
      </c>
      <c r="L315" t="str">
        <f>_xlfn.TEXTJOIN("_",TRUE,Table_textAnnotations[[#This Row],[Buch_Key]],Table_textAnnotations[[#This Row],[Anno_Key]],IF(ISBLANK(Table_textAnnotations[[#This Row],[Anno_Page_manuell]]),Table_textAnnotations[[#This Row],[Anno_Page_Auto]],Table_textAnnotations[[#This Row],[Anno_Page_manuell]]))&amp; ".txt"</f>
        <v>T3XXIKBK_ZQKSH36H_91.txt</v>
      </c>
    </row>
    <row r="316" spans="1:12" ht="150" x14ac:dyDescent="0.25">
      <c r="A316" t="s">
        <v>882</v>
      </c>
      <c r="B316" t="s">
        <v>883</v>
      </c>
      <c r="C316">
        <v>2000</v>
      </c>
      <c r="D316" t="s">
        <v>906</v>
      </c>
      <c r="E316" t="s">
        <v>501</v>
      </c>
      <c r="F316">
        <v>92</v>
      </c>
      <c r="G316" t="s">
        <v>907</v>
      </c>
      <c r="H316" s="1" t="str">
        <f>_xlfn.TEXTJOIN(CHAR(10),FALSE, _xlfn.TEXTSPLIT(Table_textAnnotations[[#This Row],[Anno_Text]], "ABSATZ"))</f>
        <v>[Kontext: Zweite Kindheitsphase]
Heutzutage, wo Jungen und Mädchen gemeinsam erzogen werden, kommt es vor, daß Jungen zwischen drei und sechs Jahren im Kindergarten den Mädchen erklären, sie zu lieben, weil sie anders gemacht sind. Sie billigen ihnen als Trost sogar das Privileg zu, ihnen beim Urinieren zuschauen zu dürfen; dafür werden die Mädchen dann zu ihren auserwählten Freundinnen oder Verlobten. Manchmal wird ein solch großzügiges Angebot ausgeschlagen, und das Mädchen vermeidet eine gewisse Zeit lang selbst emotionale Kontakte mit den allzu generösen Jungen: Es verinnerlicht seine Enttäuschung, seinen jetzigen Zustand, »ohne Penis&lt;&lt; zu sein, und hofft insgeheim auf ein Wunder, nämlich daß es mit weiterem Wachstum auch einen zentrifugalen Penis bekommen wird. In dieser Hoffnung befühlt es seine Klitoris und seine Schamlippen. Es kann sich so der klitoralen Masturbation hingeben - die Masturbation besteht nicht nur aus physischen Manipulationen, sondern auch aus selbstverliebten Handlungen - und sogar eine Art Männlichkeitskomplex entwickeln, der nach Freuds Beschreibung eine Verweigerung ist, zur Realität seines mit einer Vagina ausgestatteten Geschlechts zu gelangen.</v>
      </c>
      <c r="I316" s="1" t="s">
        <v>1341</v>
      </c>
      <c r="J316" s="2" t="b">
        <v>0</v>
      </c>
      <c r="L316" t="str">
        <f>_xlfn.TEXTJOIN("_",TRUE,Table_textAnnotations[[#This Row],[Buch_Key]],Table_textAnnotations[[#This Row],[Anno_Key]],IF(ISBLANK(Table_textAnnotations[[#This Row],[Anno_Page_manuell]]),Table_textAnnotations[[#This Row],[Anno_Page_Auto]],Table_textAnnotations[[#This Row],[Anno_Page_manuell]]))&amp; ".txt"</f>
        <v>T3XXIKBK_34XH7CX3_92.txt</v>
      </c>
    </row>
    <row r="317" spans="1:12" ht="45" x14ac:dyDescent="0.25">
      <c r="A317" t="s">
        <v>882</v>
      </c>
      <c r="B317" t="s">
        <v>883</v>
      </c>
      <c r="C317">
        <v>2000</v>
      </c>
      <c r="D317" t="s">
        <v>908</v>
      </c>
      <c r="E317" t="s">
        <v>501</v>
      </c>
      <c r="F317">
        <v>92</v>
      </c>
      <c r="G317" t="s">
        <v>909</v>
      </c>
      <c r="H317" s="1" t="str">
        <f>_xlfn.TEXTJOIN(CHAR(10),FALSE, _xlfn.TEXTSPLIT(Table_textAnnotations[[#This Row],[Anno_Text]], "ABSATZ"))</f>
        <v>[Kontext: Zweite Kindheitsphase]
In allen Fällen von affektiver Gesundheit ist es für die Mädchen ganz ohne Frage eine Ehre, eine Vulva zu haben mit einem »Loch und einem Knopf«&lt; am Genitale.</v>
      </c>
      <c r="I317" s="1" t="s">
        <v>1342</v>
      </c>
      <c r="J317" s="2" t="b">
        <v>0</v>
      </c>
      <c r="L317" t="str">
        <f>_xlfn.TEXTJOIN("_",TRUE,Table_textAnnotations[[#This Row],[Buch_Key]],Table_textAnnotations[[#This Row],[Anno_Key]],IF(ISBLANK(Table_textAnnotations[[#This Row],[Anno_Page_manuell]]),Table_textAnnotations[[#This Row],[Anno_Page_Auto]],Table_textAnnotations[[#This Row],[Anno_Page_manuell]]))&amp; ".txt"</f>
        <v>T3XXIKBK_TH87D9WG_92.txt</v>
      </c>
    </row>
    <row r="318" spans="1:12" ht="90" x14ac:dyDescent="0.25">
      <c r="A318" t="s">
        <v>882</v>
      </c>
      <c r="B318" t="s">
        <v>883</v>
      </c>
      <c r="C318">
        <v>2000</v>
      </c>
      <c r="D318" t="s">
        <v>910</v>
      </c>
      <c r="E318" t="s">
        <v>911</v>
      </c>
      <c r="F318">
        <v>93</v>
      </c>
      <c r="G318" t="s">
        <v>912</v>
      </c>
      <c r="H318" s="1" t="str">
        <f>_xlfn.TEXTJOIN(CHAR(10),FALSE, _xlfn.TEXTSPLIT(Table_textAnnotations[[#This Row],[Anno_Text]], "ABSATZ"))</f>
        <v>[Kontext: Zweite Kindheitsphase]
In dieser zweiten, vulvo-klitoralen Phase, die nach dem Erwerb der Sauberkeit und der Sprache (zwischen dem 25. und dem 30. Monat) einsetzt, ist alles, was implizit oder explizit im sprachlichen, sensorischen, körperlichen und im aktiv wie passiv sinnlichen Bereich geschätzt wird und wichtig ist und sowohl von der Mutter, dem Symbol der Allmacht und des Allwissens, wie auch vom Vater, dem Symbol der Autorität schlechthin, erlaubt wird, für die spätere Sexualität und Persönlichkeit der heranreifenden Frau von nicht zu überschätzender Bedeutung.111</v>
      </c>
      <c r="I318" s="1" t="s">
        <v>1343</v>
      </c>
      <c r="J318" s="2" t="b">
        <v>0</v>
      </c>
      <c r="L318" t="str">
        <f>_xlfn.TEXTJOIN("_",TRUE,Table_textAnnotations[[#This Row],[Buch_Key]],Table_textAnnotations[[#This Row],[Anno_Key]],IF(ISBLANK(Table_textAnnotations[[#This Row],[Anno_Page_manuell]]),Table_textAnnotations[[#This Row],[Anno_Page_Auto]],Table_textAnnotations[[#This Row],[Anno_Page_manuell]]))&amp; ".txt"</f>
        <v>T3XXIKBK_RUNR24JL_93.txt</v>
      </c>
    </row>
    <row r="319" spans="1:12" ht="75" x14ac:dyDescent="0.25">
      <c r="A319" t="s">
        <v>882</v>
      </c>
      <c r="B319" t="s">
        <v>883</v>
      </c>
      <c r="C319">
        <v>2000</v>
      </c>
      <c r="D319" t="s">
        <v>913</v>
      </c>
      <c r="E319" t="s">
        <v>914</v>
      </c>
      <c r="F319">
        <v>94</v>
      </c>
      <c r="G319" t="s">
        <v>915</v>
      </c>
      <c r="H319" s="1" t="str">
        <f>_xlfn.TEXTJOIN(CHAR(10),FALSE, _xlfn.TEXTSPLIT(Table_textAnnotations[[#This Row],[Anno_Text]], "ABSATZ"))</f>
        <v>[Kontext: Zweite Kindheitsphase]
Die Erforschung des Körpers, die zur Masturbation führt, betrifft nicht nur die Vulva und die Klitoris, es gibt auch eine nasale, orale, anale Masturbation und die des Bauchnabels; letztere ist eine bei Erwachsenen weniger bekannte Form und weckt Empfindungen im Inneren des Unterleibs in Verbindung mit der Harnröhre und der Vulva. Schließlich existiert die noch seltenere Masturbation der Brustwarzen, die sehr starke schmerzliche Erfahrungen besänftigt, welche wie eine Kastration empfunden werden. 113</v>
      </c>
      <c r="I319" s="1" t="s">
        <v>1344</v>
      </c>
      <c r="J319" s="2" t="b">
        <v>0</v>
      </c>
      <c r="L319" t="str">
        <f>_xlfn.TEXTJOIN("_",TRUE,Table_textAnnotations[[#This Row],[Buch_Key]],Table_textAnnotations[[#This Row],[Anno_Key]],IF(ISBLANK(Table_textAnnotations[[#This Row],[Anno_Page_manuell]]),Table_textAnnotations[[#This Row],[Anno_Page_Auto]],Table_textAnnotations[[#This Row],[Anno_Page_manuell]]))&amp; ".txt"</f>
        <v>T3XXIKBK_9B3NA7M7_94.txt</v>
      </c>
    </row>
    <row r="320" spans="1:12" ht="30" x14ac:dyDescent="0.25">
      <c r="A320" t="s">
        <v>882</v>
      </c>
      <c r="B320" t="s">
        <v>883</v>
      </c>
      <c r="C320">
        <v>2000</v>
      </c>
      <c r="D320" t="s">
        <v>916</v>
      </c>
      <c r="E320" t="s">
        <v>387</v>
      </c>
      <c r="F320">
        <v>95</v>
      </c>
      <c r="G320" t="s">
        <v>917</v>
      </c>
      <c r="H320" s="1" t="str">
        <f>_xlfn.TEXTJOIN(CHAR(10),FALSE, _xlfn.TEXTSPLIT(Table_textAnnotations[[#This Row],[Anno_Text]], "ABSATZ"))</f>
        <v>[Fußnote] 1 Die Zunge ist ein Organ, das die sublimierte, symbolische orale Macht und die sexuellen Optionen - die von den aktiven und passiven Trieben der oralen, klitoralen und vulvovaginalen Libido herkommen - vermittelt.</v>
      </c>
      <c r="I320" s="1" t="s">
        <v>917</v>
      </c>
      <c r="J320" s="2" t="b">
        <v>0</v>
      </c>
      <c r="L320" t="str">
        <f>_xlfn.TEXTJOIN("_",TRUE,Table_textAnnotations[[#This Row],[Buch_Key]],Table_textAnnotations[[#This Row],[Anno_Key]],IF(ISBLANK(Table_textAnnotations[[#This Row],[Anno_Page_manuell]]),Table_textAnnotations[[#This Row],[Anno_Page_Auto]],Table_textAnnotations[[#This Row],[Anno_Page_manuell]]))&amp; ".txt"</f>
        <v>T3XXIKBK_RRAQS8X6_95.txt</v>
      </c>
    </row>
    <row r="321" spans="1:12" ht="45" x14ac:dyDescent="0.25">
      <c r="A321" t="s">
        <v>882</v>
      </c>
      <c r="B321" t="s">
        <v>883</v>
      </c>
      <c r="C321">
        <v>2000</v>
      </c>
      <c r="D321" t="s">
        <v>918</v>
      </c>
      <c r="E321" t="s">
        <v>81</v>
      </c>
      <c r="F321">
        <v>98</v>
      </c>
      <c r="G321" t="s">
        <v>919</v>
      </c>
      <c r="H321" s="1" t="str">
        <f>_xlfn.TEXTJOIN(CHAR(10),FALSE, _xlfn.TEXTSPLIT(Table_textAnnotations[[#This Row],[Anno_Text]], "ABSATZ"))</f>
        <v>Wenn sich, wie wir beobachten konnten, das Mädchen zum Beispiel wie eine  Mutter verhält, mit der es sich identifiziert, dann deswegen, weil es glaubt, daß  die Mutter mit dem Kind eine erogene Befriedigung oraler, analer und vulvoklitoraler Art erlebt wie bei der Masturbation. Es handelt sich hierbei keinesfalls um Sublimierungen nach der Verdrängung, sondern um erotische (libidinöse) Befriedigungen.</v>
      </c>
      <c r="I321" s="1" t="s">
        <v>919</v>
      </c>
      <c r="J321" s="2" t="b">
        <v>0</v>
      </c>
      <c r="L321" t="str">
        <f>_xlfn.TEXTJOIN("_",TRUE,Table_textAnnotations[[#This Row],[Buch_Key]],Table_textAnnotations[[#This Row],[Anno_Key]],IF(ISBLANK(Table_textAnnotations[[#This Row],[Anno_Page_manuell]]),Table_textAnnotations[[#This Row],[Anno_Page_Auto]],Table_textAnnotations[[#This Row],[Anno_Page_manuell]]))&amp; ".txt"</f>
        <v>T3XXIKBK_V4QW24MN_98.txt</v>
      </c>
    </row>
    <row r="322" spans="1:12" ht="60" x14ac:dyDescent="0.25">
      <c r="A322" t="s">
        <v>882</v>
      </c>
      <c r="B322" t="s">
        <v>883</v>
      </c>
      <c r="C322">
        <v>2000</v>
      </c>
      <c r="D322" t="s">
        <v>920</v>
      </c>
      <c r="E322" t="s">
        <v>846</v>
      </c>
      <c r="F322">
        <v>121</v>
      </c>
      <c r="G322" t="s">
        <v>921</v>
      </c>
      <c r="H322" s="1" t="str">
        <f>_xlfn.TEXTJOIN(CHAR(10),FALSE, _xlfn.TEXTSPLIT(Table_textAnnotations[[#This Row],[Anno_Text]], "ABSATZ"))</f>
        <v>[Kontext: Die Auflösung der ödipalen Situation]
Ein gewisser Teil der passiven oralen, analen und phallischen Triebe, die sich olfaktorisch, visuell, auditiv, taktil und rhythmisch äußern, besetzt narzißtisch die sexuelle vulvo-vaginale Körperregion, die Klitoris und die Brüste.</v>
      </c>
      <c r="I322" s="1" t="s">
        <v>1384</v>
      </c>
      <c r="J322" s="2" t="b">
        <v>0</v>
      </c>
      <c r="L322" t="str">
        <f>_xlfn.TEXTJOIN("_",TRUE,Table_textAnnotations[[#This Row],[Buch_Key]],Table_textAnnotations[[#This Row],[Anno_Key]],IF(ISBLANK(Table_textAnnotations[[#This Row],[Anno_Page_manuell]]),Table_textAnnotations[[#This Row],[Anno_Page_Auto]],Table_textAnnotations[[#This Row],[Anno_Page_manuell]]))&amp; ".txt"</f>
        <v>T3XXIKBK_G37HLEIE_121.txt</v>
      </c>
    </row>
    <row r="323" spans="1:12" ht="165" x14ac:dyDescent="0.25">
      <c r="A323" t="s">
        <v>882</v>
      </c>
      <c r="B323" t="s">
        <v>883</v>
      </c>
      <c r="C323">
        <v>2000</v>
      </c>
      <c r="D323" t="s">
        <v>922</v>
      </c>
      <c r="E323" t="s">
        <v>876</v>
      </c>
      <c r="F323">
        <v>131</v>
      </c>
      <c r="G323" t="s">
        <v>923</v>
      </c>
      <c r="H323" s="1" t="str">
        <f>_xlfn.TEXTJOIN(CHAR(10),FALSE, _xlfn.TEXTSPLIT(Table_textAnnotations[[#This Row],[Anno_Text]], "ABSATZ"))</f>
        <v>[Kontext:] Die pathologische, postpubertäre Verdrängung, die aus einem nicht adäquat durchlebten Ödipuskomplex berrührt
[...]
Klinisch kann man folgende Verdrängungen unterscheiden: 
1. Die Verdrängung der körperlich passiven und aktiven Besetzungen und der erotisch-genitalen, klitoral-vulvo-analen Besetzungen. [...]
2. Die Verdrängung der ausschließlich passiv-erotischen Triebe, die an die Besetzung der Vagina gebunden sind, aus Angst vor Vergewaltigung. [...]
3. Die Verdrängung der aktiven klitoral-analen Triebe und die aktive Überbesetzung der früher besetzten, aber von Schuldgefühlen unbelasteten Körperzonen mit der Muskelkraft und Beweglichkeit der Gliedmaßen und allgemeinen körperlichen, manuellen und intellektuellen Gewandtheit führen dann zu einem Männlichkeitskomplex, wenn solche Fertigkeiten auf die Spitze getrieben werden und andere weibliche Aktivitäten ausschließen.</v>
      </c>
      <c r="I323" s="1" t="s">
        <v>1385</v>
      </c>
      <c r="J323" s="2" t="b">
        <v>0</v>
      </c>
      <c r="L323" t="str">
        <f>_xlfn.TEXTJOIN("_",TRUE,Table_textAnnotations[[#This Row],[Buch_Key]],Table_textAnnotations[[#This Row],[Anno_Key]],IF(ISBLANK(Table_textAnnotations[[#This Row],[Anno_Page_manuell]]),Table_textAnnotations[[#This Row],[Anno_Page_Auto]],Table_textAnnotations[[#This Row],[Anno_Page_manuell]]))&amp; ".txt"</f>
        <v>T3XXIKBK_FWTV442J_131.txt</v>
      </c>
    </row>
    <row r="324" spans="1:12" ht="90" x14ac:dyDescent="0.25">
      <c r="A324" t="s">
        <v>882</v>
      </c>
      <c r="B324" t="s">
        <v>883</v>
      </c>
      <c r="C324">
        <v>2000</v>
      </c>
      <c r="D324" t="s">
        <v>924</v>
      </c>
      <c r="E324" t="s">
        <v>269</v>
      </c>
      <c r="F324">
        <v>147</v>
      </c>
      <c r="G324" t="s">
        <v>925</v>
      </c>
      <c r="H324" s="1" t="str">
        <f>_xlfn.TEXTJOIN(CHAR(10),FALSE, _xlfn.TEXTSPLIT(Table_textAnnotations[[#This Row],[Anno_Text]], "ABSATZ"))</f>
        <v>[Kontext:] Klinische Resultate der unbewältigten ödipalen Situation; Vereinbarkeit von Homosexualität und Heterosexualität bei der Frau [...]
(D) Die polyandrische, leidenschaftliche, unstabile Heterosexualität, die – mit oder ohne Verdrängung der Heterosexualität – genital vollzogen wird. [...]
Die Frau ist nicht frigide und hat starke Orgasmen der Klitoris und Vulva, wie sie typisch sind für nymphomanische Frauen oder solche, die Männer »anmachen«.</v>
      </c>
      <c r="I324" s="1" t="s">
        <v>1386</v>
      </c>
      <c r="J324" s="2" t="b">
        <v>0</v>
      </c>
      <c r="L324" t="str">
        <f>_xlfn.TEXTJOIN("_",TRUE,Table_textAnnotations[[#This Row],[Buch_Key]],Table_textAnnotations[[#This Row],[Anno_Key]],IF(ISBLANK(Table_textAnnotations[[#This Row],[Anno_Page_manuell]]),Table_textAnnotations[[#This Row],[Anno_Page_Auto]],Table_textAnnotations[[#This Row],[Anno_Page_manuell]]))&amp; ".txt"</f>
        <v>T3XXIKBK_EUILL5VJ_147.txt</v>
      </c>
    </row>
    <row r="325" spans="1:12" ht="105" x14ac:dyDescent="0.25">
      <c r="A325" t="s">
        <v>882</v>
      </c>
      <c r="B325" t="s">
        <v>883</v>
      </c>
      <c r="C325">
        <v>2000</v>
      </c>
      <c r="D325" t="s">
        <v>926</v>
      </c>
      <c r="E325" t="s">
        <v>507</v>
      </c>
      <c r="F325">
        <v>174</v>
      </c>
      <c r="G325" t="s">
        <v>927</v>
      </c>
      <c r="H325" s="1" t="str">
        <f>_xlfn.TEXTJOIN(CHAR(10),FALSE, _xlfn.TEXTSPLIT(Table_textAnnotations[[#This Row],[Anno_Text]], "ABSATZ"))</f>
        <v>Ich erinnere mich an ein kleines Mädchen, dem ich eine Puppe mitgebracht habe. Es hat die Puppe sofort aufden Kopf gestellt, die Strickhose ausgezogen,  ihr eine Klaps gegeben und dann gesagt: »Sie hat gar keinen Knopf, die interessiert mich nicht.&lt;&lt; In diesem Moment vermischen sich die auf die Klitoris  und die Vulva bezogenen Phasen. Gemäß der aus diesen Phasen stammenden  Haltung und Ästhetik sind Hohlräume, Geheimnisse, Verstecke und Schachteln von großer Bedeutung, ebenso das hausfrauliche Interesse an Schleiern  und sorgfältig gebügelten Falten; Knitterfalten sind dagegen unästhetisch. Die  Mädchen mögen Knöpfe und haben große Freude daran zu lernen, wie man  Knöpfe annäht, was übrigens eine Sublimierung darstellt; sie nähen überall  Knöpfe an, egal wie; denn Knöpfe annähen, das heißt überall Brustwarzen und  Klitorides anzubringen, was einfach schön ist.</v>
      </c>
      <c r="I325" s="1" t="s">
        <v>927</v>
      </c>
      <c r="J325" s="2" t="b">
        <v>0</v>
      </c>
      <c r="L325" t="str">
        <f>_xlfn.TEXTJOIN("_",TRUE,Table_textAnnotations[[#This Row],[Buch_Key]],Table_textAnnotations[[#This Row],[Anno_Key]],IF(ISBLANK(Table_textAnnotations[[#This Row],[Anno_Page_manuell]]),Table_textAnnotations[[#This Row],[Anno_Page_Auto]],Table_textAnnotations[[#This Row],[Anno_Page_manuell]]))&amp; ".txt"</f>
        <v>T3XXIKBK_99PES9V8_174.txt</v>
      </c>
    </row>
    <row r="326" spans="1:12" ht="60" x14ac:dyDescent="0.25">
      <c r="A326" t="s">
        <v>882</v>
      </c>
      <c r="B326" t="s">
        <v>883</v>
      </c>
      <c r="C326">
        <v>2000</v>
      </c>
      <c r="D326" t="s">
        <v>928</v>
      </c>
      <c r="E326" t="s">
        <v>929</v>
      </c>
      <c r="F326">
        <v>180</v>
      </c>
      <c r="G326" t="s">
        <v>930</v>
      </c>
      <c r="H326" s="1" t="str">
        <f>_xlfn.TEXTJOIN(CHAR(10),FALSE, _xlfn.TEXTSPLIT(Table_textAnnotations[[#This Row],[Anno_Text]], "ABSATZ"))</f>
        <v>Gleichgültig bei welcher Gelegenheit und  durch welche exogene sensorische Ursache auch immer das Begehren der Frau  angeregt wird - sobald es sich ihren Sinnesorganen mitteilt, konzentriert es  sich auf die genitale Körperregion. Sie spürt eine klitorale Erregung und eine  kreisförmige vaginale Anschwellung, die mit Wärmeempfindungen, Flüssigkeitssekretion und einer erregten Lust einhergehen, deren Intensität sich bis  zum Höhepunkt, dem Orgasmus, steigert.</v>
      </c>
      <c r="I326" s="1" t="s">
        <v>930</v>
      </c>
      <c r="J326" s="2" t="b">
        <v>0</v>
      </c>
      <c r="L326" t="str">
        <f>_xlfn.TEXTJOIN("_",TRUE,Table_textAnnotations[[#This Row],[Buch_Key]],Table_textAnnotations[[#This Row],[Anno_Key]],IF(ISBLANK(Table_textAnnotations[[#This Row],[Anno_Page_manuell]]),Table_textAnnotations[[#This Row],[Anno_Page_Auto]],Table_textAnnotations[[#This Row],[Anno_Page_manuell]]))&amp; ".txt"</f>
        <v>T3XXIKBK_77XMJI5Z_180.txt</v>
      </c>
    </row>
    <row r="327" spans="1:12" ht="75" x14ac:dyDescent="0.25">
      <c r="A327" t="s">
        <v>882</v>
      </c>
      <c r="B327" t="s">
        <v>883</v>
      </c>
      <c r="C327">
        <v>2000</v>
      </c>
      <c r="D327" t="s">
        <v>931</v>
      </c>
      <c r="E327" t="s">
        <v>929</v>
      </c>
      <c r="F327">
        <v>180</v>
      </c>
      <c r="G327" t="s">
        <v>932</v>
      </c>
      <c r="H327" s="1" t="str">
        <f>_xlfn.TEXTJOIN(CHAR(10),FALSE, _xlfn.TEXTSPLIT(Table_textAnnotations[[#This Row],[Anno_Text]], "ABSATZ"))</f>
        <v>Man kann folgende Orgasmen unterscheiden: - den klitoralen Orgasmus, den vulvo-klitoralen Orgasmus, - den vaginalen Orgasmus und - den Orgasmus im gesamten Bereich des Uterus, der zu Unrecht mit den vorhergehenden Orgasmusarten, vor allem mit dem vulvo-vaginalen Orgasmus, verwechselt wird, da er von der Frau nicht bewußt wahrgenommen wird und sie deshalb nie von einem solchen Orgasmus spricht. Ich glaube, daß er sowohl aus objektiv deskriptiven Gründen als auch aus Gründen der libidinösen Entwicklung im Rahmen der psychoanalytischen Theorie von den anderen unterschieden werden muß.e</v>
      </c>
      <c r="I327" s="1" t="s">
        <v>1408</v>
      </c>
      <c r="J327" s="2" t="b">
        <v>1</v>
      </c>
      <c r="L327" t="str">
        <f>_xlfn.TEXTJOIN("_",TRUE,Table_textAnnotations[[#This Row],[Buch_Key]],Table_textAnnotations[[#This Row],[Anno_Key]],IF(ISBLANK(Table_textAnnotations[[#This Row],[Anno_Page_manuell]]),Table_textAnnotations[[#This Row],[Anno_Page_Auto]],Table_textAnnotations[[#This Row],[Anno_Page_manuell]]))&amp; ".txt"</f>
        <v>T3XXIKBK_NBV5YXN7_180.txt</v>
      </c>
    </row>
    <row r="328" spans="1:12" ht="75" x14ac:dyDescent="0.25">
      <c r="A328" t="s">
        <v>882</v>
      </c>
      <c r="B328" t="s">
        <v>883</v>
      </c>
      <c r="C328">
        <v>2000</v>
      </c>
      <c r="D328" t="s">
        <v>933</v>
      </c>
      <c r="E328" t="s">
        <v>934</v>
      </c>
      <c r="F328">
        <v>181</v>
      </c>
      <c r="G328" t="s">
        <v>935</v>
      </c>
      <c r="H328" s="1" t="str">
        <f>_xlfn.TEXTJOIN(CHAR(10),FALSE, _xlfn.TEXTSPLIT(Table_textAnnotations[[#This Row],[Anno_Text]], "ABSATZ"))</f>
        <v>Man weiß, daß die klitorale Erregung sowohl zur vulvo-vaginalen Sekretion  führt als auch zu der Erwartung und dem Wunsch nach einer Penetration des  Penis in die Vagina. Durch die Sekretion wird die Penetration möglich und für  beide Partner lustvoll. Die Erregung der Brustwarzen ist (klinisch und vor  allem auch theoretisch) mit der klitoralen Erregungvergleichbar; das heißt, es  kann sein, daß sie nicht existiert, so wie auch eine klitorale Erregung nicht  unbedingt vorhanden sein muß; sie kann andererseits auch als Kompensation einer Atresief oder einer fehlenden Klitoris existieren.</v>
      </c>
      <c r="I328" s="1" t="s">
        <v>935</v>
      </c>
      <c r="J328" s="2" t="b">
        <v>1</v>
      </c>
      <c r="L328" t="str">
        <f>_xlfn.TEXTJOIN("_",TRUE,Table_textAnnotations[[#This Row],[Buch_Key]],Table_textAnnotations[[#This Row],[Anno_Key]],IF(ISBLANK(Table_textAnnotations[[#This Row],[Anno_Page_manuell]]),Table_textAnnotations[[#This Row],[Anno_Page_Auto]],Table_textAnnotations[[#This Row],[Anno_Page_manuell]]))&amp; ".txt"</f>
        <v>T3XXIKBK_CW7V3V8W_181.txt</v>
      </c>
    </row>
    <row r="329" spans="1:12" ht="120" x14ac:dyDescent="0.25">
      <c r="A329" t="s">
        <v>882</v>
      </c>
      <c r="B329" t="s">
        <v>883</v>
      </c>
      <c r="C329">
        <v>2000</v>
      </c>
      <c r="D329" t="s">
        <v>936</v>
      </c>
      <c r="E329" t="s">
        <v>937</v>
      </c>
      <c r="F329">
        <v>182</v>
      </c>
      <c r="G329" t="s">
        <v>938</v>
      </c>
      <c r="H329" s="1" t="str">
        <f>_xlfn.TEXTJOIN(CHAR(10),FALSE, _xlfn.TEXTSPLIT(Table_textAnnotations[[#This Row],[Anno_Text]], "ABSATZ"))</f>
        <v>Die klitorale Erregung allein kann nicht lange ertragen werden; tritt der dadurch ausgelöste Orgasmus vor den anderen Lustempfindungen ein, ist er  doch enttäuschend, unharmonisch, zweideutig und steht im Widerspruch zu  den Lustgefühlen, die er doch an der Vulva ausgelöst hat. Das kommt wahrscheinlich daher, daß durch die Erregung der Klitoris der Muskel- und Skelettapparat angespannt ist, über den das kinetische Körperbild aufgebaut und  erhalten wird. Doch erreicht der Orgasmus der Frau seine volle Entfaltung nur  über die Entspannung sämtlicher an diesem Vorgang beteiligten Muskeln, mit  Ausnahme der Muskeln des Dammes, die dem Halt des Penis dienen und  deren Motorik kaum bewußt ist, und der Bauchmuskeln, die in der Objektbeziehung während der phallischen Phase nicht zum Tragen kamen. Andererseits  wurde die Klitoris in der archaischen Phase vielleicht mit einer Zunge oder  einem Zahn assoziiert, deren Hervortreten von einer Sekretion begleitet ist.  Aber damals riefdiese spezielle Bedeutung kaum differenzierte Regungen hervor.</v>
      </c>
      <c r="I329" s="1" t="s">
        <v>938</v>
      </c>
      <c r="J329" s="2" t="b">
        <v>1</v>
      </c>
      <c r="L329" t="str">
        <f>_xlfn.TEXTJOIN("_",TRUE,Table_textAnnotations[[#This Row],[Buch_Key]],Table_textAnnotations[[#This Row],[Anno_Key]],IF(ISBLANK(Table_textAnnotations[[#This Row],[Anno_Page_manuell]]),Table_textAnnotations[[#This Row],[Anno_Page_Auto]],Table_textAnnotations[[#This Row],[Anno_Page_manuell]]))&amp; ".txt"</f>
        <v>T3XXIKBK_TYTNHG3C_182.txt</v>
      </c>
    </row>
    <row r="330" spans="1:12" ht="45" x14ac:dyDescent="0.25">
      <c r="A330" t="s">
        <v>882</v>
      </c>
      <c r="B330" t="s">
        <v>883</v>
      </c>
      <c r="C330">
        <v>2000</v>
      </c>
      <c r="D330" t="s">
        <v>939</v>
      </c>
      <c r="E330" t="s">
        <v>937</v>
      </c>
      <c r="F330">
        <v>182</v>
      </c>
      <c r="G330" t="s">
        <v>940</v>
      </c>
      <c r="H330" s="1" t="str">
        <f>_xlfn.TEXTJOIN(CHAR(10),FALSE, _xlfn.TEXTSPLIT(Table_textAnnotations[[#This Row],[Anno_Text]], "ABSATZ"))</f>
        <v>Entgegen dem Glauben der Männer haben viele Frauen kein ausschließlich  auf die Klitoris zentriertes Verlangen oder zumindest nicht ständig. Bei vielen  Frauen konzentriert sich das Verlangen beim Koitus sofort auf den Umkreis  der vulvo-vaginalen Öffnung; das klitorale Lustgefühl ist nur eine Begleiterscheinung des maximalen vaginalen Genusses.</v>
      </c>
      <c r="I330" s="1" t="s">
        <v>940</v>
      </c>
      <c r="J330" s="2" t="b">
        <v>1</v>
      </c>
      <c r="L330" t="str">
        <f>_xlfn.TEXTJOIN("_",TRUE,Table_textAnnotations[[#This Row],[Buch_Key]],Table_textAnnotations[[#This Row],[Anno_Key]],IF(ISBLANK(Table_textAnnotations[[#This Row],[Anno_Page_manuell]]),Table_textAnnotations[[#This Row],[Anno_Page_Auto]],Table_textAnnotations[[#This Row],[Anno_Page_manuell]]))&amp; ".txt"</f>
        <v>T3XXIKBK_VP8SV9G9_182.txt</v>
      </c>
    </row>
    <row r="331" spans="1:12" x14ac:dyDescent="0.25">
      <c r="A331" t="s">
        <v>882</v>
      </c>
      <c r="B331" t="s">
        <v>883</v>
      </c>
      <c r="C331">
        <v>2000</v>
      </c>
      <c r="D331" t="s">
        <v>941</v>
      </c>
      <c r="E331" t="s">
        <v>937</v>
      </c>
      <c r="F331">
        <v>182</v>
      </c>
      <c r="G331" t="s">
        <v>942</v>
      </c>
      <c r="H331" s="1" t="str">
        <f>_xlfn.TEXTJOIN(CHAR(10),FALSE, _xlfn.TEXTSPLIT(Table_textAnnotations[[#This Row],[Anno_Text]], "ABSATZ"))</f>
        <v>Kurz, der  klitorale Orgasmus allein löst die sexuelle Spannung nicht.</v>
      </c>
      <c r="I331" s="1" t="s">
        <v>942</v>
      </c>
      <c r="J331" s="2" t="b">
        <v>1</v>
      </c>
      <c r="L331" t="str">
        <f>_xlfn.TEXTJOIN("_",TRUE,Table_textAnnotations[[#This Row],[Buch_Key]],Table_textAnnotations[[#This Row],[Anno_Key]],IF(ISBLANK(Table_textAnnotations[[#This Row],[Anno_Page_manuell]]),Table_textAnnotations[[#This Row],[Anno_Page_Auto]],Table_textAnnotations[[#This Row],[Anno_Page_manuell]]))&amp; ".txt"</f>
        <v>T3XXIKBK_ZSW7H9GA_182.txt</v>
      </c>
    </row>
    <row r="332" spans="1:12" ht="30" x14ac:dyDescent="0.25">
      <c r="A332" t="s">
        <v>882</v>
      </c>
      <c r="B332" t="s">
        <v>883</v>
      </c>
      <c r="C332">
        <v>2000</v>
      </c>
      <c r="D332" t="s">
        <v>943</v>
      </c>
      <c r="E332" t="s">
        <v>944</v>
      </c>
      <c r="F332">
        <v>183</v>
      </c>
      <c r="G332" t="s">
        <v>945</v>
      </c>
      <c r="H332" s="1" t="str">
        <f>_xlfn.TEXTJOIN(CHAR(10),FALSE, _xlfn.TEXTSPLIT(Table_textAnnotations[[#This Row],[Anno_Text]], "ABSATZ"))</f>
        <v>Wenn der Penis gleichzeitig die Klitoris  und den Muttermund berührt, kann es durchaus vorkommen, daß dies bei der  Frau einen Orgasmus auslöst, der bis dahin noch nicht zustande gekommen  war.</v>
      </c>
      <c r="I332" s="1" t="s">
        <v>945</v>
      </c>
      <c r="J332" s="2" t="b">
        <v>1</v>
      </c>
      <c r="L332" t="str">
        <f>_xlfn.TEXTJOIN("_",TRUE,Table_textAnnotations[[#This Row],[Buch_Key]],Table_textAnnotations[[#This Row],[Anno_Key]],IF(ISBLANK(Table_textAnnotations[[#This Row],[Anno_Page_manuell]]),Table_textAnnotations[[#This Row],[Anno_Page_Auto]],Table_textAnnotations[[#This Row],[Anno_Page_manuell]]))&amp; ".txt"</f>
        <v>T3XXIKBK_SU4IWSIY_183.txt</v>
      </c>
    </row>
    <row r="333" spans="1:12" ht="45" x14ac:dyDescent="0.25">
      <c r="A333" t="s">
        <v>882</v>
      </c>
      <c r="B333" t="s">
        <v>883</v>
      </c>
      <c r="C333">
        <v>2000</v>
      </c>
      <c r="D333" t="s">
        <v>946</v>
      </c>
      <c r="E333" t="s">
        <v>947</v>
      </c>
      <c r="F333">
        <v>191</v>
      </c>
      <c r="G333" t="s">
        <v>948</v>
      </c>
      <c r="H333" s="1" t="str">
        <f>_xlfn.TEXTJOIN(CHAR(10),FALSE, _xlfn.TEXTSPLIT(Table_textAnnotations[[#This Row],[Anno_Text]], "ABSATZ"))</f>
        <v>Zuletzt möchte ich noch anmerken, daß viele narzißtische Frauen, die phobisch, zwanghaft, offen homosexuell, hysterisch oder sogar psychotisch sind, nicht frigide sind und nicht nur klitorale Orgasmen, sondern auch vulvo-vaginale Orgasmen haben. Ob sie einen Orgasmus im gesamten uterinen Bereich erleben, ist allerdings zweifelhaft.</v>
      </c>
      <c r="I333" s="1" t="s">
        <v>948</v>
      </c>
      <c r="J333" s="2" t="b">
        <v>0</v>
      </c>
      <c r="L333" t="str">
        <f>_xlfn.TEXTJOIN("_",TRUE,Table_textAnnotations[[#This Row],[Buch_Key]],Table_textAnnotations[[#This Row],[Anno_Key]],IF(ISBLANK(Table_textAnnotations[[#This Row],[Anno_Page_manuell]]),Table_textAnnotations[[#This Row],[Anno_Page_Auto]],Table_textAnnotations[[#This Row],[Anno_Page_manuell]]))&amp; ".txt"</f>
        <v>T3XXIKBK_4P8XT4IH_191.txt</v>
      </c>
    </row>
    <row r="334" spans="1:12" ht="75" x14ac:dyDescent="0.25">
      <c r="A334" t="s">
        <v>882</v>
      </c>
      <c r="B334" t="s">
        <v>883</v>
      </c>
      <c r="C334">
        <v>2000</v>
      </c>
      <c r="D334" t="s">
        <v>949</v>
      </c>
      <c r="E334" t="s">
        <v>950</v>
      </c>
      <c r="F334">
        <v>192</v>
      </c>
      <c r="G334" t="s">
        <v>951</v>
      </c>
      <c r="H334" s="1" t="str">
        <f>_xlfn.TEXTJOIN(CHAR(10),FALSE, _xlfn.TEXTSPLIT(Table_textAnnotations[[#This Row],[Anno_Text]], "ABSATZ"))</f>
        <v>Viele Männer berichten nämlich, daß Frauen, die nach eigenen Aussagen kein sexuelles Bedürfnis oder  Verlangen haben, den Koitus aber ohne Widerwillen vollziehen, nach dem  Koitus ein allgemeines Wohlgefühl empfinden; obwohl sie jede bewußte Lust  bestreiten, empfinden sie deswegen den Koitus aber nicht als unangenehm.  Die Partner stellen bei diesen Frauen Reaktionen im Inneren der Genitalien  fest; es ist das von den Frauen nicht bemerkte Einsetzen der Uterusbewegungen wie beim vollkommenen Orgasmus. Für die bewußte Wahrnehmung ihrer  orgastischen Lust gab es keine klitoralen oder vulvo-vaginalen Orgasmen.</v>
      </c>
      <c r="I334" s="1" t="s">
        <v>951</v>
      </c>
      <c r="J334" s="2" t="b">
        <v>0</v>
      </c>
      <c r="L334" t="str">
        <f>_xlfn.TEXTJOIN("_",TRUE,Table_textAnnotations[[#This Row],[Buch_Key]],Table_textAnnotations[[#This Row],[Anno_Key]],IF(ISBLANK(Table_textAnnotations[[#This Row],[Anno_Page_manuell]]),Table_textAnnotations[[#This Row],[Anno_Page_Auto]],Table_textAnnotations[[#This Row],[Anno_Page_manuell]]))&amp; ".txt"</f>
        <v>T3XXIKBK_W4ABWMDY_192.txt</v>
      </c>
    </row>
    <row r="335" spans="1:12" ht="75" x14ac:dyDescent="0.25">
      <c r="A335" t="s">
        <v>882</v>
      </c>
      <c r="B335" t="s">
        <v>883</v>
      </c>
      <c r="C335">
        <v>2000</v>
      </c>
      <c r="D335" t="s">
        <v>952</v>
      </c>
      <c r="E335" t="s">
        <v>953</v>
      </c>
      <c r="F335">
        <v>285</v>
      </c>
      <c r="G335" t="s">
        <v>954</v>
      </c>
      <c r="H335" s="1" t="str">
        <f>_xlfn.TEXTJOIN(CHAR(10),FALSE, _xlfn.TEXTSPLIT(Table_textAnnotations[[#This Row],[Anno_Text]], "ABSATZ"))</f>
        <v>Solche Frauen sind nicht immer frigide, sie haben nymphomanische Orgasmen, die eigentlich eine klitorale Masturbation darstellen, was mit dem Körperteil getarnt wird, den der Mann ihnen zur Verfügung stellt. Das ist vor  allem der Fall, wenn sie auf Männer treffen, die Kindfrauen mit vulvo-klitoraler Lust und diffusen Hautempfindungen am ganzen Körper mögen. Sie verspüren besondere Lust an ihren Brustwarzen, deren Masturbation in der Kindheit mit der klitoralen Masturbation und mit sado-masochistischen Phantasien  und Gefühlen verbunden sind.</v>
      </c>
      <c r="I335" s="1" t="s">
        <v>954</v>
      </c>
      <c r="J335" s="2" t="b">
        <v>0</v>
      </c>
      <c r="L335" t="str">
        <f>_xlfn.TEXTJOIN("_",TRUE,Table_textAnnotations[[#This Row],[Buch_Key]],Table_textAnnotations[[#This Row],[Anno_Key]],IF(ISBLANK(Table_textAnnotations[[#This Row],[Anno_Page_manuell]]),Table_textAnnotations[[#This Row],[Anno_Page_Auto]],Table_textAnnotations[[#This Row],[Anno_Page_manuell]]))&amp; ".txt"</f>
        <v>T3XXIKBK_MKAVSYR6_285.txt</v>
      </c>
    </row>
    <row r="336" spans="1:12" ht="45" x14ac:dyDescent="0.25">
      <c r="A336" t="s">
        <v>882</v>
      </c>
      <c r="B336" t="s">
        <v>883</v>
      </c>
      <c r="C336">
        <v>2000</v>
      </c>
      <c r="D336" t="s">
        <v>955</v>
      </c>
      <c r="E336" t="s">
        <v>956</v>
      </c>
      <c r="F336">
        <v>288</v>
      </c>
      <c r="G336" t="s">
        <v>957</v>
      </c>
      <c r="H336" s="1" t="str">
        <f>_xlfn.TEXTJOIN(CHAR(10),FALSE, _xlfn.TEXTSPLIT(Table_textAnnotations[[#This Row],[Anno_Text]], "ABSATZ"))</f>
        <v>Wie dem auch sei, folgendes ist festzuhalten:  1. Die klitoralen, vulvalen und vaginalen Orgasmen bedeuten überhaupt nicht,  daß die Frau die genitale Libido erreicht hat. Sie sind lediglich Zeichen  einer von Schuldgefühlen freien oralen und analen narzißtischen Besetzung  ihrer Genitalien.</v>
      </c>
      <c r="I336" s="1" t="s">
        <v>957</v>
      </c>
      <c r="J336" s="2" t="b">
        <v>0</v>
      </c>
      <c r="L336" t="str">
        <f>_xlfn.TEXTJOIN("_",TRUE,Table_textAnnotations[[#This Row],[Buch_Key]],Table_textAnnotations[[#This Row],[Anno_Key]],IF(ISBLANK(Table_textAnnotations[[#This Row],[Anno_Page_manuell]]),Table_textAnnotations[[#This Row],[Anno_Page_Auto]],Table_textAnnotations[[#This Row],[Anno_Page_manuell]]))&amp; ".txt"</f>
        <v>T3XXIKBK_5AS2ZNS5_288.txt</v>
      </c>
    </row>
    <row r="337" spans="1:12" ht="75" x14ac:dyDescent="0.25">
      <c r="A337" t="s">
        <v>882</v>
      </c>
      <c r="B337" t="s">
        <v>883</v>
      </c>
      <c r="C337">
        <v>2000</v>
      </c>
      <c r="D337" t="s">
        <v>958</v>
      </c>
      <c r="E337" t="s">
        <v>959</v>
      </c>
      <c r="F337">
        <v>293</v>
      </c>
      <c r="G337" t="s">
        <v>960</v>
      </c>
      <c r="H337" s="1" t="str">
        <f>_xlfn.TEXTJOIN(CHAR(10),FALSE, _xlfn.TEXTSPLIT(Table_textAnnotations[[#This Row],[Anno_Text]], "ABSATZ"))</f>
        <v>Selbst wenn eine Frau die Erfahrung macht, daß ihr Genitale mit ihren  Emotionen verbunden ist - jenseits des phallischen Erscheinungsbildes der  Körper –, so versteht sie sich selbst weniger als den Mann. Wie damals, als sie  sich von der klitoralen Masturbation abgewandt hat, weil sie uninteressant war,  handelt es sich hier um eine narziẞtische Kränkung ihrer Intelligenz, die, wie  die des Mannes, nach Logik und Vernunft sucht, indem sie sich aufMechanismen stützt, die von prägenitalen und phallischen Sublimierungen stammen.</v>
      </c>
      <c r="I337" s="1" t="s">
        <v>960</v>
      </c>
      <c r="J337" s="2" t="b">
        <v>0</v>
      </c>
      <c r="L337" t="str">
        <f>_xlfn.TEXTJOIN("_",TRUE,Table_textAnnotations[[#This Row],[Buch_Key]],Table_textAnnotations[[#This Row],[Anno_Key]],IF(ISBLANK(Table_textAnnotations[[#This Row],[Anno_Page_manuell]]),Table_textAnnotations[[#This Row],[Anno_Page_Auto]],Table_textAnnotations[[#This Row],[Anno_Page_manuell]]))&amp; ".txt"</f>
        <v>T3XXIKBK_RK8YNXYJ_293.txt</v>
      </c>
    </row>
    <row r="338" spans="1:12" ht="375" x14ac:dyDescent="0.25">
      <c r="A338" t="s">
        <v>882</v>
      </c>
      <c r="B338" t="s">
        <v>883</v>
      </c>
      <c r="C338">
        <v>2000</v>
      </c>
      <c r="D338" t="s">
        <v>961</v>
      </c>
      <c r="E338" t="s">
        <v>962</v>
      </c>
      <c r="F338">
        <v>302</v>
      </c>
      <c r="G338" t="s">
        <v>963</v>
      </c>
      <c r="H338" s="1" t="str">
        <f>_xlfn.TEXTJOIN(CHAR(10),FALSE, _xlfn.TEXTSPLIT(Table_textAnnotations[[#This Row],[Anno_Text]], "ABSATZ"))</f>
        <v>5 Was die erogenen Zonen als Organ der Weitergabe der Lust angeht, so täuscht sich Freud in bezug auf die Klitoris. Er meint, daß das kleine Mädchen - selbst nach der Begegnung mit einem Verführer - nicht über die Masturbation der Klitoris hinausgelangt. Das stimmt ganz sicher nicht. Die Klitoris ist zwar wichtig, aber nur für eine begrenzte Zeit. Die Lust daran wird ziemlich schnell gerade von dem Verlangen nach Penetration abgelöst. Durch die Besetzung der vaginalen Sexualität verliert deshalb die klitorale Sexualität relativ an Bedeutung. Aber vielleicht gab es zu Freuds Zeiten tatsächlich beim Mädchen eine extreme Verdrängung jeglicher verführerischer Aktivität. Meiner Meinung nach verlagert sich die Wertschätzung, welche die Klitoris genießt, auf die Brüste, und zwar auf die Erektionsfähigkeit der Brustwarzen, welche von den Büstenhaltern betont werden, die den Brüsten eine spitz zulaufende Form geben. Für Freud lag in der Identifikation des Mädchens mit dem erektionsfähigen Penis eine Ablehnung der Weiblichkeit. Ich glaube jedoch, daß ein Mädchen hinsichtlich der Erektionsfähigkeit genügend eigene Möglichkeiten zur Identifizierung hat, weil alle kleinen Mädchen, wenn sie ihren Körper entdekken, sagen, daß sie drei »Knöpfe&lt;&lt; hätten. So wird die Klitoris genannt, genau wie die beiden Brustwarzen auch. Und schon im Alter von 18 Monaten kann man hören: &gt;&gt;Warum habe ich hier einen Knopf, Mama? Schau mal. Tu mir ein wenig Salbe darauf.&lt;&lt; Das ist auch eine Art, die Mutter zu verführen; die Mutter kann daraufhin sagen: »Nein, ein Knopf ist das nicht.&lt;&lt; Man muß darüber sprechen. Das ist wichtig. Aus diesen Gründen ist die Exzision der Klitoris bei manchen Völkern so wichtig. In Paris kam eine Afrikanerin in meine Sprechstunde, welche die Beschneidung ihrer Tochter mit der Begründung verlangte, sie habe es satt, mitansehen zu müssen, wie sich die Tochter mit ihrem Geschlechtsteil beschäftige. Die Beschneidung war in ihrem Herkunftsland ein ganz normaler Vorgang; nun lebte sie zwar in Frankreich und wollte die hiesige Lebensweise teilen, gleichzeitig aber auf die ästhetischen - wenn man so sagen darf, antikolonialistischen - Vorteile ihrer ethnischen Herkunft nicht verzichten. Gleichzeitig erklärte sie, daß sie nicht mehr gläubig sei, so daß eine Beschneidungaus religiösen Gründen für sie keine Rolle spielten. Es handelte sich hier also um eine Beschneidung aus Scham und Verdrängung, weil ihre Tochter sich für ihre Klitoris interessierte und sie selbst keine mehr besaß. Viele Frauen sind nach der Exzision subjektiv vaginal durchaus empfindungsfähig, während viele Männer weißer Hautfarbe, vor allem in Europa, glauben, daß die Exzision der Frau jegliche sexuelle Lust raubt. Gynäkologen, welche Frauen in Afrika behandelten, sagen, daß diese dieVagina erotisch sehr stark besetzen, gerade weil sie keine Klitoris mehrhaben. Es kam, was den Ort der Lust angeht, zu einer Verschiebung, und die Vagina wurde noch intensiver besetzt. Deshalb teile ich nicht Freuds Meinung, nach der es zu einer Verdrängung der libidinös-klitoralen Besetzung kommt. Es handelt sich hier eher um einen Besetzungsentzug, weil die erogene Zone des Mädchens den männlichen Penis zu empfangen wünscht und von ihm penetriert zu werden verlangt.</v>
      </c>
      <c r="I338" s="1" t="s">
        <v>963</v>
      </c>
      <c r="J338" s="2" t="b">
        <v>0</v>
      </c>
      <c r="L338" t="str">
        <f>_xlfn.TEXTJOIN("_",TRUE,Table_textAnnotations[[#This Row],[Buch_Key]],Table_textAnnotations[[#This Row],[Anno_Key]],IF(ISBLANK(Table_textAnnotations[[#This Row],[Anno_Page_manuell]]),Table_textAnnotations[[#This Row],[Anno_Page_Auto]],Table_textAnnotations[[#This Row],[Anno_Page_manuell]]))&amp; ".txt"</f>
        <v>T3XXIKBK_X7C2CX99_302.txt</v>
      </c>
    </row>
    <row r="339" spans="1:12" ht="120" x14ac:dyDescent="0.25">
      <c r="A339" t="s">
        <v>882</v>
      </c>
      <c r="B339" t="s">
        <v>883</v>
      </c>
      <c r="C339">
        <v>2000</v>
      </c>
      <c r="D339" t="s">
        <v>964</v>
      </c>
      <c r="E339" t="s">
        <v>965</v>
      </c>
      <c r="F339">
        <v>305</v>
      </c>
      <c r="G339" t="s">
        <v>966</v>
      </c>
      <c r="H339" s="1" t="str">
        <f>_xlfn.TEXTJOIN(CHAR(10),FALSE, _xlfn.TEXTSPLIT(Table_textAnnotations[[#This Row],[Anno_Text]], "ABSATZ"))</f>
        <v>Am 26. Juli 1932 notiert Ferenczi: »Klitoris und Vagina Möglicherweise war es voreilig, die weibliche Sexualität als mit der Klitoris beginnend vorzustellen, mit einer viel späteren Verlegung der Zone aufdieVagina. Es ist zweifelhaft,  ob es überhaupt ein Organ gibt, das von der Psyche &gt;unentdeckt&lt;, gleichsam psychisch  neutral, das heißt nicht existierend, gedacht werden kann. Im Gegenteil, man fühlt sich  zur Vermutung berechtigt, daß das anscheindende Nichtentdecken der Vagina bereits ein Frigiditätszeichen ist, die gesteigerte Klitoriserogenität aber schon ein hysterisches Symptom. Dasselbe Verlegen würde auch die Akzentuierung der Urethral- und Analregion,  das heißt die Aufsplitterung der Genitalität in benachbarte und entferntere Verlegungen,  hervorrufen. Die Motive der frühinfantilen Vaginalverdrängung könnten sein: die methodische Abhaltung der Hand von der Vaginalöffnung beinahe vom Momente der Geburt an, während die Klitorisregion durch Waschen, Pudern von Anfang an gereizt wird&lt;&lt;  (ebd., S. 234 f.).</v>
      </c>
      <c r="I339" s="1" t="s">
        <v>966</v>
      </c>
      <c r="J339" s="2" t="b">
        <v>0</v>
      </c>
      <c r="L339" t="str">
        <f>_xlfn.TEXTJOIN("_",TRUE,Table_textAnnotations[[#This Row],[Buch_Key]],Table_textAnnotations[[#This Row],[Anno_Key]],IF(ISBLANK(Table_textAnnotations[[#This Row],[Anno_Page_manuell]]),Table_textAnnotations[[#This Row],[Anno_Page_Auto]],Table_textAnnotations[[#This Row],[Anno_Page_manuell]]))&amp; ".txt"</f>
        <v>T3XXIKBK_LPC684AA_305.txt</v>
      </c>
    </row>
    <row r="340" spans="1:12" ht="90" x14ac:dyDescent="0.25">
      <c r="A340" t="s">
        <v>882</v>
      </c>
      <c r="B340" t="s">
        <v>883</v>
      </c>
      <c r="C340">
        <v>2000</v>
      </c>
      <c r="D340" t="s">
        <v>967</v>
      </c>
      <c r="E340" t="s">
        <v>968</v>
      </c>
      <c r="F340">
        <v>308</v>
      </c>
      <c r="G340" t="s">
        <v>969</v>
      </c>
      <c r="H340" s="1" t="str">
        <f>_xlfn.TEXTJOIN(CHAR(10),FALSE, _xlfn.TEXTSPLIT(Table_textAnnotations[[#This Row],[Anno_Text]], "ABSATZ"))</f>
        <v>Wenn man Marthas Briefe an Freud liest, so wird deutlich, daß sie seine  Informantin war, was das Verständnis der Frau anging, und daß sie ihn auch in  die Sexualität einführte.  Martha war kaum neurotisch. Dagegen war später die Prinzessin Bonaparte3  hochneurotisch, weil ihre Großmutter und ihr Vater sie auf sadistische und  perverse Art und Weise erzogen hatten. Aber sie war eine intelligente Frau, die  sich zum ersten Male in ihrem Leben jemandem anvertrauen konnte, und das  war Freud; ihm teilte sie nicht nur alle Gedanken mit, sie berichtete ihm auch,  daß sie sich dreimal operieren ließ, um den Abstand zwischen Klitoris und  Vagina zu verringern, weil sie angeblich deswegen frigide war.</v>
      </c>
      <c r="I340" s="1" t="s">
        <v>969</v>
      </c>
      <c r="J340" s="2" t="b">
        <v>0</v>
      </c>
      <c r="L340" t="str">
        <f>_xlfn.TEXTJOIN("_",TRUE,Table_textAnnotations[[#This Row],[Buch_Key]],Table_textAnnotations[[#This Row],[Anno_Key]],IF(ISBLANK(Table_textAnnotations[[#This Row],[Anno_Page_manuell]]),Table_textAnnotations[[#This Row],[Anno_Page_Auto]],Table_textAnnotations[[#This Row],[Anno_Page_manuell]]))&amp; ".txt"</f>
        <v>T3XXIKBK_IDN4KC7K_308.txt</v>
      </c>
    </row>
    <row r="341" spans="1:12" ht="30" x14ac:dyDescent="0.25">
      <c r="A341" t="s">
        <v>882</v>
      </c>
      <c r="B341" t="s">
        <v>883</v>
      </c>
      <c r="C341">
        <v>2000</v>
      </c>
      <c r="D341" t="s">
        <v>970</v>
      </c>
      <c r="E341" t="s">
        <v>971</v>
      </c>
      <c r="F341">
        <v>309</v>
      </c>
      <c r="G341" t="s">
        <v>972</v>
      </c>
      <c r="H341" s="1" t="str">
        <f>_xlfn.TEXTJOIN(CHAR(10),FALSE, _xlfn.TEXTSPLIT(Table_textAnnotations[[#This Row],[Anno_Text]], "ABSATZ"))</f>
        <v>Mit Lou  Andreas-Salomé verhielt es sich genauso; ihre Empfindungsfähigkeit war auf  die Klitoris beschränkt, und für sie war die Klitoris die Hauptsache, die Vagina konnte ihrer Auffassung nach keine Empfindungen vermitteln.</v>
      </c>
      <c r="I341" s="1" t="s">
        <v>972</v>
      </c>
      <c r="J341" s="2" t="b">
        <v>0</v>
      </c>
      <c r="L341" t="str">
        <f>_xlfn.TEXTJOIN("_",TRUE,Table_textAnnotations[[#This Row],[Buch_Key]],Table_textAnnotations[[#This Row],[Anno_Key]],IF(ISBLANK(Table_textAnnotations[[#This Row],[Anno_Page_manuell]]),Table_textAnnotations[[#This Row],[Anno_Page_Auto]],Table_textAnnotations[[#This Row],[Anno_Page_manuell]]))&amp; ".txt"</f>
        <v>T3XXIKBK_PBF95VLV_309.txt</v>
      </c>
    </row>
    <row r="342" spans="1:12" ht="75" x14ac:dyDescent="0.25">
      <c r="A342" t="s">
        <v>882</v>
      </c>
      <c r="B342" t="s">
        <v>883</v>
      </c>
      <c r="C342">
        <v>2000</v>
      </c>
      <c r="D342" t="s">
        <v>973</v>
      </c>
      <c r="E342" t="s">
        <v>974</v>
      </c>
      <c r="F342">
        <v>334</v>
      </c>
      <c r="G342" t="s">
        <v>975</v>
      </c>
      <c r="H342" s="1" t="str">
        <f>_xlfn.TEXTJOIN(CHAR(10),FALSE, _xlfn.TEXTSPLIT(Table_textAnnotations[[#This Row],[Anno_Text]], "ABSATZ"))</f>
        <v>45  Auch wenn Eierstöcke und Hoden vorhanden sind, können Eizellen und  Samenfäden einen Defekt in der Chromosomenstruktur aufweisen. Die Geschlechtschromosomenlegendas Geschlecht über die Gonaden,dasheißtals  Genitalorgane, fest... Dieandere Zelle, eineZwillingszelle, führtzum Soma  und zum eigentlichenGeschlechtlichen.nl  Es gibt Frauen, die denKörper einesMannes haben... Ichkannte eineFrau,  die keine Vagina besaß; ihre Klitoris war ein wenig dick, die Schamlippen  waren geschlossen wie ein Skrotum, und sie hatte wirklich kleine Hoden, die  aber nichtganz ausgebildetwaren.</v>
      </c>
      <c r="I342" s="1" t="s">
        <v>975</v>
      </c>
      <c r="J342" s="2" t="b">
        <v>0</v>
      </c>
      <c r="L342" t="str">
        <f>_xlfn.TEXTJOIN("_",TRUE,Table_textAnnotations[[#This Row],[Buch_Key]],Table_textAnnotations[[#This Row],[Anno_Key]],IF(ISBLANK(Table_textAnnotations[[#This Row],[Anno_Page_manuell]]),Table_textAnnotations[[#This Row],[Anno_Page_Auto]],Table_textAnnotations[[#This Row],[Anno_Page_manuell]]))&amp; ".txt"</f>
        <v>T3XXIKBK_LUF5F3D3_334.txt</v>
      </c>
    </row>
    <row r="343" spans="1:12" ht="30" x14ac:dyDescent="0.25">
      <c r="A343" t="s">
        <v>882</v>
      </c>
      <c r="B343" t="s">
        <v>883</v>
      </c>
      <c r="C343">
        <v>2000</v>
      </c>
      <c r="D343" t="s">
        <v>976</v>
      </c>
      <c r="E343" t="s">
        <v>977</v>
      </c>
      <c r="F343">
        <v>370</v>
      </c>
      <c r="G343" t="s">
        <v>978</v>
      </c>
      <c r="H343" s="1" t="str">
        <f>_xlfn.TEXTJOIN(CHAR(10),FALSE, _xlfn.TEXTSPLIT(Table_textAnnotations[[#This Row],[Anno_Text]], "ABSATZ"))</f>
        <v>9041  Das Mädchen braucht etwas länger, um die erogenen Zonen mit der Hand zu  berühren, weil es über andere Mittel verfügt; es kann beispielsweise seine  Schenkel zusammenpressen, was die Klitoris reizt.</v>
      </c>
      <c r="I343" s="1" t="s">
        <v>978</v>
      </c>
      <c r="J343" s="2" t="b">
        <v>0</v>
      </c>
      <c r="L343" t="str">
        <f>_xlfn.TEXTJOIN("_",TRUE,Table_textAnnotations[[#This Row],[Buch_Key]],Table_textAnnotations[[#This Row],[Anno_Key]],IF(ISBLANK(Table_textAnnotations[[#This Row],[Anno_Page_manuell]]),Table_textAnnotations[[#This Row],[Anno_Page_Auto]],Table_textAnnotations[[#This Row],[Anno_Page_manuell]]))&amp; ".txt"</f>
        <v>T3XXIKBK_QRAJ7LJC_370.txt</v>
      </c>
    </row>
    <row r="344" spans="1:12" ht="45" x14ac:dyDescent="0.25">
      <c r="A344" t="s">
        <v>882</v>
      </c>
      <c r="B344" t="s">
        <v>883</v>
      </c>
      <c r="C344">
        <v>2000</v>
      </c>
      <c r="D344" t="s">
        <v>979</v>
      </c>
      <c r="E344" t="s">
        <v>980</v>
      </c>
      <c r="F344">
        <v>380</v>
      </c>
      <c r="G344" t="s">
        <v>981</v>
      </c>
      <c r="H344" s="1" t="str">
        <f>_xlfn.TEXTJOIN(CHAR(10),FALSE, _xlfn.TEXTSPLIT(Table_textAnnotations[[#This Row],[Anno_Text]], "ABSATZ"))</f>
        <v>Das Mädchen spürt allmählich eine Stelle an ihrem Körper ganz besonders,  es ist die Stelle, an der sich die Klitoris befindet. Das Mädchen hofft noch, daß  hier ein zentrifugaler Penis vorliegt, der größer werden wird, und die Jungen  sagen es ihm: »Mach dir keine Sorgen, das wird noch wachsen.&lt;&lt;</v>
      </c>
      <c r="I344" s="1" t="s">
        <v>981</v>
      </c>
      <c r="J344" s="2" t="b">
        <v>0</v>
      </c>
      <c r="L344" t="str">
        <f>_xlfn.TEXTJOIN("_",TRUE,Table_textAnnotations[[#This Row],[Buch_Key]],Table_textAnnotations[[#This Row],[Anno_Key]],IF(ISBLANK(Table_textAnnotations[[#This Row],[Anno_Page_manuell]]),Table_textAnnotations[[#This Row],[Anno_Page_Auto]],Table_textAnnotations[[#This Row],[Anno_Page_manuell]]))&amp; ".txt"</f>
        <v>T3XXIKBK_MUY76EK5_380.txt</v>
      </c>
    </row>
    <row r="345" spans="1:12" ht="105" x14ac:dyDescent="0.25">
      <c r="A345" t="s">
        <v>882</v>
      </c>
      <c r="B345" t="s">
        <v>883</v>
      </c>
      <c r="C345">
        <v>2000</v>
      </c>
      <c r="D345" t="s">
        <v>982</v>
      </c>
      <c r="E345" t="s">
        <v>983</v>
      </c>
      <c r="F345">
        <v>383</v>
      </c>
      <c r="G345" t="s">
        <v>984</v>
      </c>
      <c r="H345" s="1" t="str">
        <f>_xlfn.TEXTJOIN(CHAR(10),FALSE, _xlfn.TEXTSPLIT(Table_textAnnotations[[#This Row],[Anno_Text]], "ABSATZ"))</f>
        <v>Bei den Jungen und den Männern sitzen die Falten natürlich nie richtig, wogegen sich die Mädchen bewußt darum bemühen, überall kleine Falten anzubringen und zwar in ziemlich großer Zahl. Das steht natürlich im Zusammenhang mit den vielen Falten der Vulva und stellt eine Verschiebung dar. Die Knöpfe sind mehr eine schöne Zugabe. Sie haben keinen bestimmten Zweck, aber das macht nichts. Das ist typisch für Mädchen. Logisch ist das nicht: Das ist eine nette Verzierung ohne bestimmten Zweck. Das beweist nun, daß die Klitoris nach einer gewissen Zeit keinen bestimmten Zweck mehr hat. Sie ist ein Überbleibsel aus einer früheren Zeit, in der sie mit dem Penis verglichen wurde, aber für den ästhetischen Sinn der Frau stellt sie überhaupt nichts mehr dar, was ihrem Empfinden als absolut gut, wohltuend und angenehm vorkommt.</v>
      </c>
      <c r="I345" s="1" t="s">
        <v>984</v>
      </c>
      <c r="J345" s="2" t="b">
        <v>0</v>
      </c>
      <c r="L345" t="str">
        <f>_xlfn.TEXTJOIN("_",TRUE,Table_textAnnotations[[#This Row],[Buch_Key]],Table_textAnnotations[[#This Row],[Anno_Key]],IF(ISBLANK(Table_textAnnotations[[#This Row],[Anno_Page_manuell]]),Table_textAnnotations[[#This Row],[Anno_Page_Auto]],Table_textAnnotations[[#This Row],[Anno_Page_manuell]]))&amp; ".txt"</f>
        <v>T3XXIKBK_PU76HYJ2_383.txt</v>
      </c>
    </row>
    <row r="346" spans="1:12" ht="75" x14ac:dyDescent="0.25">
      <c r="A346" t="s">
        <v>882</v>
      </c>
      <c r="B346" t="s">
        <v>883</v>
      </c>
      <c r="C346">
        <v>2000</v>
      </c>
      <c r="D346" t="s">
        <v>985</v>
      </c>
      <c r="E346" t="s">
        <v>986</v>
      </c>
      <c r="F346">
        <v>384</v>
      </c>
      <c r="G346" t="s">
        <v>987</v>
      </c>
      <c r="H346" s="1" t="str">
        <f>_xlfn.TEXTJOIN(CHAR(10),FALSE, _xlfn.TEXTSPLIT(Table_textAnnotations[[#This Row],[Anno_Text]], "ABSATZ"))</f>
        <v>Auf diese Weise setzt die Hysterie ein, wenn man die Aufmerksamkeit einer  anderen Person auf sich und seinen Körper lenkt; dieJungen sind daran überhaupt nicht interessiert, sie kümmern sich manchmal eher darum, ob sie sauber  sind. Das Interesse der Mädchen gilt aber nicht der Sauberkeit, sondern einem  schönen Kleid, einer Stickerei oder irgendeiner Sache - also Nebensächlichkeiten, die aber auf einen aufmerksam machen, und weil das Genitale nun  einmal nicht zu sehen ist, zieht man die Aufmerksamkeit des Mannes eben mit  solchen Kleinigkeiten auf sich.  Die Klitoris, die Falte - das sind solche Kleinigkeiten.</v>
      </c>
      <c r="I346" s="1" t="s">
        <v>987</v>
      </c>
      <c r="J346" s="2" t="b">
        <v>0</v>
      </c>
      <c r="L346" t="str">
        <f>_xlfn.TEXTJOIN("_",TRUE,Table_textAnnotations[[#This Row],[Buch_Key]],Table_textAnnotations[[#This Row],[Anno_Key]],IF(ISBLANK(Table_textAnnotations[[#This Row],[Anno_Page_manuell]]),Table_textAnnotations[[#This Row],[Anno_Page_Auto]],Table_textAnnotations[[#This Row],[Anno_Page_manuell]]))&amp; ".txt"</f>
        <v>T3XXIKBK_7WBYU7TH_384.txt</v>
      </c>
    </row>
    <row r="347" spans="1:12" ht="75" x14ac:dyDescent="0.25">
      <c r="A347" t="s">
        <v>882</v>
      </c>
      <c r="B347" t="s">
        <v>883</v>
      </c>
      <c r="C347">
        <v>2000</v>
      </c>
      <c r="D347" t="s">
        <v>988</v>
      </c>
      <c r="E347" t="s">
        <v>989</v>
      </c>
      <c r="F347">
        <v>402</v>
      </c>
      <c r="G347" t="s">
        <v>990</v>
      </c>
      <c r="H347" s="1" t="str">
        <f>_xlfn.TEXTJOIN(CHAR(10),FALSE, _xlfn.TEXTSPLIT(Table_textAnnotations[[#This Row],[Anno_Text]], "ABSATZ"))</f>
        <v>Der Modus der erotischen Befriedigung ist die anal-zentrifugale Masturbation; es kommt dabei zu einem spielerischen Zurückhalten und Loslassen  durch den Sphinkter, zu schnellen rhythmischen Bewegungen des Körpers,  um starke perineale Empfindungen hervorzurufen, zu einem aktiv ausgelösten  oder passiv erlebten Hin- und Herschaukeln, zur Masturbation der Klitoris  und der Schamgegend; man zieht an den Lippen des Mundes und des Genitales, steckt Finger in die Nase und penetriert den Anus mit den Fingern oder  verschiedenen Gegenständen; letzteres kommt bei Mädchen sehr viel seltener  vor als bei Jungen.</v>
      </c>
      <c r="I347" s="1" t="s">
        <v>990</v>
      </c>
      <c r="J347" s="2" t="b">
        <v>0</v>
      </c>
      <c r="L347" t="str">
        <f>_xlfn.TEXTJOIN("_",TRUE,Table_textAnnotations[[#This Row],[Buch_Key]],Table_textAnnotations[[#This Row],[Anno_Key]],IF(ISBLANK(Table_textAnnotations[[#This Row],[Anno_Page_manuell]]),Table_textAnnotations[[#This Row],[Anno_Page_Auto]],Table_textAnnotations[[#This Row],[Anno_Page_manuell]]))&amp; ".txt"</f>
        <v>T3XXIKBK_8N8NPMMX_402.txt</v>
      </c>
    </row>
    <row r="348" spans="1:12" ht="105" x14ac:dyDescent="0.25">
      <c r="A348" t="s">
        <v>882</v>
      </c>
      <c r="B348" t="s">
        <v>883</v>
      </c>
      <c r="C348">
        <v>2000</v>
      </c>
      <c r="D348" t="s">
        <v>991</v>
      </c>
      <c r="E348" t="s">
        <v>989</v>
      </c>
      <c r="F348">
        <v>402</v>
      </c>
      <c r="G348" t="s">
        <v>992</v>
      </c>
      <c r="H348" s="1" t="str">
        <f>_xlfn.TEXTJOIN(CHAR(10),FALSE, _xlfn.TEXTSPLIT(Table_textAnnotations[[#This Row],[Anno_Text]], "ABSATZ"))</f>
        <v>Noch während einer  unglaublich langanhaltenden ödipalen Phase kann sich das Mädchen manuelle  Gewandtheitsowie Fertigkeiten und Kenntnisse in häuslichen und schulischen  Dingen aneignen, ohne daß es deswegen in bezug auf seine beiden Eltern auf  sexuelle ödipale Wünsche homo- oder heterosexueller Natur verzichtet.  Mit diesem Recht auf einen Narziẞmus der weiblichen Genitalregion, die  aufKlitoris, Schamgegend und Vagina konzentriert ist, und mit dem Recht auf  einen Narziẞmus des weiblichen Körpers, dessen gesellschaftlich bedeutsame  Stärke in einer spezifisch weiblichen Geschicklichkeit besteht, wird nun in der  Tat der Weg bereitet für eine konkave, von Vulva und Uterus bestimmte Sexualität, deren Wertschätzung aus entsprechender Distanz dem gesellschaftlich wie sexuell phallisch geprägten Vaterbild gilt.</v>
      </c>
      <c r="I348" s="1" t="s">
        <v>992</v>
      </c>
      <c r="J348" s="2" t="b">
        <v>0</v>
      </c>
      <c r="L348" t="str">
        <f>_xlfn.TEXTJOIN("_",TRUE,Table_textAnnotations[[#This Row],[Buch_Key]],Table_textAnnotations[[#This Row],[Anno_Key]],IF(ISBLANK(Table_textAnnotations[[#This Row],[Anno_Page_manuell]]),Table_textAnnotations[[#This Row],[Anno_Page_Auto]],Table_textAnnotations[[#This Row],[Anno_Page_manuell]]))&amp; ".txt"</f>
        <v>T3XXIKBK_C34X9925_402.txt</v>
      </c>
    </row>
    <row r="349" spans="1:12" ht="90" x14ac:dyDescent="0.25">
      <c r="A349" t="s">
        <v>882</v>
      </c>
      <c r="B349" t="s">
        <v>883</v>
      </c>
      <c r="C349">
        <v>2000</v>
      </c>
      <c r="D349" t="s">
        <v>993</v>
      </c>
      <c r="E349" t="s">
        <v>994</v>
      </c>
      <c r="F349">
        <v>405</v>
      </c>
      <c r="G349" t="s">
        <v>995</v>
      </c>
      <c r="H349" s="1" t="str">
        <f>_xlfn.TEXTJOIN(CHAR(10),FALSE, _xlfn.TEXTSPLIT(Table_textAnnotations[[#This Row],[Anno_Text]], "ABSATZ"))</f>
        <v>Hinzu kommt noch die Dominanz der Klitoris. Die außergewöhnlichen imaginären Leistungen, welche auch die zurückhaltendsten jungen Mädchen ihrem &gt;&gt;Zukünftigen&lt;&lt; zutrauen - glänzende berufliche Situation, Beziehungen,  Verführung --,, stellen im Alter von 15 Jahren die Fortsetzung der Erzählungen  von einem schönen jungen Mann dar, der nach triumphalen Erfolgen die Königstochter heiratet. In der Kindheit handelt es sich dabei um eine literarische  und bildhafte Transposition der Klitoris, wobei der junge Mann als wertvoller  Phallus, der einen Schmuck darstellt, auftritt, oder als wertloser Phallus, weil  man ihm die Anerkennung versagt oder weil er aus einer verarmten, aber  hochherrschaftlichen Familie stammt.</v>
      </c>
      <c r="I349" s="1" t="s">
        <v>995</v>
      </c>
      <c r="J349" s="2" t="b">
        <v>0</v>
      </c>
      <c r="L349" t="str">
        <f>_xlfn.TEXTJOIN("_",TRUE,Table_textAnnotations[[#This Row],[Buch_Key]],Table_textAnnotations[[#This Row],[Anno_Key]],IF(ISBLANK(Table_textAnnotations[[#This Row],[Anno_Page_manuell]]),Table_textAnnotations[[#This Row],[Anno_Page_Auto]],Table_textAnnotations[[#This Row],[Anno_Page_manuell]]))&amp; ".txt"</f>
        <v>T3XXIKBK_6KM3QLI4_405.txt</v>
      </c>
    </row>
    <row r="350" spans="1:12" ht="30" x14ac:dyDescent="0.25">
      <c r="A350" t="s">
        <v>882</v>
      </c>
      <c r="B350" t="s">
        <v>883</v>
      </c>
      <c r="C350">
        <v>2000</v>
      </c>
      <c r="D350" t="s">
        <v>996</v>
      </c>
      <c r="E350" t="s">
        <v>994</v>
      </c>
      <c r="F350">
        <v>405</v>
      </c>
      <c r="G350" t="s">
        <v>997</v>
      </c>
      <c r="H350" s="1" t="str">
        <f>_xlfn.TEXTJOIN(CHAR(10),FALSE, _xlfn.TEXTSPLIT(Table_textAnnotations[[#This Row],[Anno_Text]], "ABSATZ"))</f>
        <v>In den Träumen adoleszenter Mädchen stehen der Narzißmus und die Vulva  genauso im Mittelpunkt wie die Klitoris; sie sind jedoch ödipaler Natur, wobei  stets ein mehr oder weniger stark ausgeprägtes homo- oder heterosexuelles  Moment vorhanden ist.</v>
      </c>
      <c r="I350" s="1" t="s">
        <v>997</v>
      </c>
      <c r="J350" s="2" t="b">
        <v>0</v>
      </c>
      <c r="L350" t="str">
        <f>_xlfn.TEXTJOIN("_",TRUE,Table_textAnnotations[[#This Row],[Buch_Key]],Table_textAnnotations[[#This Row],[Anno_Key]],IF(ISBLANK(Table_textAnnotations[[#This Row],[Anno_Page_manuell]]),Table_textAnnotations[[#This Row],[Anno_Page_Auto]],Table_textAnnotations[[#This Row],[Anno_Page_manuell]]))&amp; ".txt"</f>
        <v>T3XXIKBK_R5U67QII_405.txt</v>
      </c>
    </row>
    <row r="351" spans="1:12" ht="105" x14ac:dyDescent="0.25">
      <c r="A351" t="s">
        <v>882</v>
      </c>
      <c r="B351" t="s">
        <v>883</v>
      </c>
      <c r="C351">
        <v>2000</v>
      </c>
      <c r="D351" t="s">
        <v>998</v>
      </c>
      <c r="E351" t="s">
        <v>999</v>
      </c>
      <c r="F351">
        <v>407</v>
      </c>
      <c r="G351" t="s">
        <v>1000</v>
      </c>
      <c r="H351" s="1" t="str">
        <f>_xlfn.TEXTJOIN(CHAR(10),FALSE, _xlfn.TEXTSPLIT(Table_textAnnotations[[#This Row],[Anno_Text]], "ABSATZ"))</f>
        <v>Das  phallische Ich des Mädchens erfährt das Trauma der primären Kastration in  dem Augenblick, da es die sexuell-phallomorphe Konstitution derJungen bemerkt. Diese narzißtische Wunde eröffnet dem Mädchen symbolisch den Zugang zu seiner Weiblichkeit insofern, als es weiß, daß der ganz besondereWert  seiner Person in den Augen vonJungen an die Tatsache gebunden ist, daß sein  Genitale gerade nicht das typisch phallomorphe Merkmal besitzt. Das Ich, das  beim Mädchen immer noch phallisch ist und bleibt, akzeptiert dann sein hohlförmiges Genitale und seine Klitoris, weil es sich für das phallische Ich-Ideal  entschieden hat, welches das Mädchen zu einer zentripetal-phallischen Dynamik in seinem verführerischen Verhalten gegenüber Personen mit phallomorpher Konstitution von Körper und Genitale anhält.</v>
      </c>
      <c r="I351" s="1" t="s">
        <v>1426</v>
      </c>
      <c r="J351" s="2" t="b">
        <v>0</v>
      </c>
      <c r="L351" t="str">
        <f>_xlfn.TEXTJOIN("_",TRUE,Table_textAnnotations[[#This Row],[Buch_Key]],Table_textAnnotations[[#This Row],[Anno_Key]],IF(ISBLANK(Table_textAnnotations[[#This Row],[Anno_Page_manuell]]),Table_textAnnotations[[#This Row],[Anno_Page_Auto]],Table_textAnnotations[[#This Row],[Anno_Page_manuell]]))&amp; ".txt"</f>
        <v>T3XXIKBK_DVLMSEJY_407.txt</v>
      </c>
    </row>
    <row r="352" spans="1:12" ht="90" x14ac:dyDescent="0.25">
      <c r="A352" t="s">
        <v>882</v>
      </c>
      <c r="B352" t="s">
        <v>883</v>
      </c>
      <c r="C352">
        <v>2000</v>
      </c>
      <c r="D352" t="s">
        <v>1001</v>
      </c>
      <c r="E352" t="s">
        <v>145</v>
      </c>
      <c r="F352">
        <v>411</v>
      </c>
      <c r="G352" t="s">
        <v>1002</v>
      </c>
      <c r="H352" s="1" t="str">
        <f>_xlfn.TEXTJOIN(CHAR(10),FALSE, _xlfn.TEXTSPLIT(Table_textAnnotations[[#This Row],[Anno_Text]], "ABSATZ"))</f>
        <v>3. Die phallische Phase: Im funktionalen Modus der Oralität wird der Penis  des anderen an sich gezogen, zunächst zur Absorption, dann zur ausstoßenden  Expulsion im analen Modus eines zentrifugalen Penis; Versuch, die Klitoris,  die den zentrifugalen Penis repräsentiert, überzubewerten; es findet eine Verschiebung auf alle sthenischen Emissionen statt; die Lernfähigkeit wird eingesetzt, um Wissen zu erwerben und es im »Sagen« und »Tun&lt;&lt; als den phallischen Ersatzformen zu zeigen; die Einstellung, »ihn nicht zu haben«, erfährt  eine Verschiebung, um verführerisch zu wirken; entdeckt werden die Macht  und die Attraktivität als Frau, was auch finanziell zu Buche schlagen kann.</v>
      </c>
      <c r="I352" s="1" t="s">
        <v>1002</v>
      </c>
      <c r="J352" s="2" t="b">
        <v>0</v>
      </c>
      <c r="L352" t="str">
        <f>_xlfn.TEXTJOIN("_",TRUE,Table_textAnnotations[[#This Row],[Buch_Key]],Table_textAnnotations[[#This Row],[Anno_Key]],IF(ISBLANK(Table_textAnnotations[[#This Row],[Anno_Page_manuell]]),Table_textAnnotations[[#This Row],[Anno_Page_Auto]],Table_textAnnotations[[#This Row],[Anno_Page_manuell]]))&amp; ".txt"</f>
        <v>T3XXIKBK_D2FDK3TT_411.txt</v>
      </c>
    </row>
    <row r="353" spans="1:12" ht="150" x14ac:dyDescent="0.25">
      <c r="A353" t="s">
        <v>882</v>
      </c>
      <c r="B353" t="s">
        <v>883</v>
      </c>
      <c r="C353">
        <v>2000</v>
      </c>
      <c r="D353" t="s">
        <v>1003</v>
      </c>
      <c r="E353" t="s">
        <v>145</v>
      </c>
      <c r="F353">
        <v>411</v>
      </c>
      <c r="G353" t="s">
        <v>1004</v>
      </c>
      <c r="H353" s="1" t="str">
        <f>_xlfn.TEXTJOIN(CHAR(10),FALSE, _xlfn.TEXTSPLIT(Table_textAnnotations[[#This Row],[Anno_Text]], "ABSATZ"))</f>
        <v>4. Die um die Vulva zentrierte Phase: Fast gleichzeitig mit der Entdeckung des  Saums an Kleidern werden Klitoris und Vagina entdeckt und überbewertet;  Hohlformen, Geheimnisse, Verstecke und Schachteln werden nun geschätzt;  daheim interessiert man sich für Schleier, Vorhänge und Falten; unästhetische  Knitterfalten werden abgelehnt und trotz zeitweiligem Desinteresses wird die  Art und Weise, wie man sich kleidet, wichtig, um dort tadellos gekleidet zu  sein, wo sich der lächerliche zentrifugale Penis, die Klitoris, befindet, einer  von drei erektilen Knöpfen, wobei die beiden anderen an der Brust sind. Von  allen geht wenig Befriedigung aus, so daß sie kaum der Rede wert sind; »ballonartige« Formen des Körpers wie Brüste, Pobacken und Wangen erfahren  eine neue Wertschätzung. Trotz dieser Verschiebung auf kulturell-dekorative  Gegenstände bereiten sich manche jungen Mädchen weiterhin masturbatorisch-narziẞtische Lustempfindungen, wenn niemand mehr da ist, vor dem  man sich zur Schau stellen kann. Folgende Körperzonen sind betroffen:  - die Brustwarzen und die Schamlippen, an denen gezogen wird;  - die Klitoris, deren Erregung eine unklare erektile Empfindung auslöst und  so das Interesse an der Öffnung der Vulva weckt.</v>
      </c>
      <c r="I353" s="1" t="s">
        <v>1004</v>
      </c>
      <c r="J353" s="2" t="b">
        <v>0</v>
      </c>
      <c r="L353" t="str">
        <f>_xlfn.TEXTJOIN("_",TRUE,Table_textAnnotations[[#This Row],[Buch_Key]],Table_textAnnotations[[#This Row],[Anno_Key]],IF(ISBLANK(Table_textAnnotations[[#This Row],[Anno_Page_manuell]]),Table_textAnnotations[[#This Row],[Anno_Page_Auto]],Table_textAnnotations[[#This Row],[Anno_Page_manuell]]))&amp; ".txt"</f>
        <v>T3XXIKBK_ZQ58NWM4_411.txt</v>
      </c>
    </row>
    <row r="354" spans="1:12" ht="30" x14ac:dyDescent="0.25">
      <c r="A354" t="s">
        <v>1005</v>
      </c>
      <c r="B354" t="s">
        <v>1006</v>
      </c>
      <c r="C354">
        <v>2001</v>
      </c>
      <c r="D354" t="s">
        <v>1007</v>
      </c>
      <c r="E354" t="s">
        <v>1008</v>
      </c>
      <c r="G354" t="s">
        <v>1009</v>
      </c>
      <c r="H354" s="1" t="str">
        <f>_xlfn.TEXTJOIN(CHAR(10),FALSE, _xlfn.TEXTSPLIT(Table_textAnnotations[[#This Row],[Anno_Text]], "ABSATZ"))</f>
        <v>Die sichtbaren äußeren Teile der Geschlechtsorgane werden zusammen als Vulva bezeichnet und bestehen aus dem sexuell sensiblen Kitzler (Klitoris), der von Hautfalten umgeben ist und den Schamlippen.</v>
      </c>
      <c r="I354" s="1" t="s">
        <v>1009</v>
      </c>
      <c r="J354" s="2" t="b">
        <v>1</v>
      </c>
      <c r="L354" t="str">
        <f>_xlfn.TEXTJOIN("_",TRUE,Table_textAnnotations[[#This Row],[Buch_Key]],Table_textAnnotations[[#This Row],[Anno_Key]],IF(ISBLANK(Table_textAnnotations[[#This Row],[Anno_Page_manuell]]),Table_textAnnotations[[#This Row],[Anno_Page_Auto]],Table_textAnnotations[[#This Row],[Anno_Page_manuell]]))&amp; ".txt"</f>
        <v>D5CMJDJA_FWGCKXR5_731.txt</v>
      </c>
    </row>
    <row r="355" spans="1:12" ht="90" x14ac:dyDescent="0.25">
      <c r="A355" t="s">
        <v>1005</v>
      </c>
      <c r="B355" t="s">
        <v>1006</v>
      </c>
      <c r="C355">
        <v>2001</v>
      </c>
      <c r="D355" t="s">
        <v>1010</v>
      </c>
      <c r="E355" t="s">
        <v>1011</v>
      </c>
      <c r="G355" t="s">
        <v>1012</v>
      </c>
      <c r="H355" s="1" t="str">
        <f>_xlfn.TEXTJOIN(CHAR(10),FALSE, _xlfn.TEXTSPLIT(Table_textAnnotations[[#This Row],[Anno_Text]], "ABSATZ"))</f>
        <v>[Kontext: Vermännlichung]
Die Symptome treten allmählich auf. Zu ihnen gehören:
⚫ übermäßiges Wachstum der Haare im Gesicht und am Körper ⚫ unregelmäßige oder ausbleibende Menstruationen (Regelblutung, S. 735) • Verringerung der Brustgröße oder selten ausbleibende Entwicklungder Bruste • Vergrößerung des Kitzlers ⚫ nicht rückgängig zu machende Vergrößerung des Kehlkopfs (Adamsapfel), was zu einer tieferen Stimme führt • Ausdünnung der Haare um die Schläfen</v>
      </c>
      <c r="I355" s="1" t="s">
        <v>1409</v>
      </c>
      <c r="J355" s="2" t="b">
        <v>1</v>
      </c>
      <c r="K355" t="s">
        <v>1320</v>
      </c>
      <c r="L355" t="str">
        <f>_xlfn.TEXTJOIN("_",TRUE,Table_textAnnotations[[#This Row],[Buch_Key]],Table_textAnnotations[[#This Row],[Anno_Key]],IF(ISBLANK(Table_textAnnotations[[#This Row],[Anno_Page_manuell]]),Table_textAnnotations[[#This Row],[Anno_Page_Auto]],Table_textAnnotations[[#This Row],[Anno_Page_manuell]]))&amp; ".txt"</f>
        <v>D5CMJDJA_Z46LVZHV_740.txt</v>
      </c>
    </row>
    <row r="356" spans="1:12" ht="45" x14ac:dyDescent="0.25">
      <c r="A356" t="s">
        <v>1005</v>
      </c>
      <c r="B356" t="s">
        <v>1006</v>
      </c>
      <c r="C356">
        <v>2001</v>
      </c>
      <c r="D356" t="s">
        <v>1013</v>
      </c>
      <c r="E356" t="s">
        <v>1014</v>
      </c>
      <c r="G356" t="s">
        <v>1015</v>
      </c>
      <c r="H356" s="1" t="str">
        <f>_xlfn.TEXTJOIN(CHAR(10),FALSE, _xlfn.TEXTSPLIT(Table_textAnnotations[[#This Row],[Anno_Text]], "ABSATZ"))</f>
        <v>Sexuelle Gedanken, der Anblick des Körpers eines  Partners und ein Vorspiel - all dies trägt zur sexuellen Erregung bei. Die Aufregung beschleunigt die Atmung, den Herzschlag und erhöhtden Blutdruck. Bei einem Mann erigiert der Penis. Bei einer  Frau schwellen die Schamlippen und der Kitzler an, die Scheide wird länger und feucht, die Brüste vergrößern sich.</v>
      </c>
      <c r="I356" s="1" t="s">
        <v>1015</v>
      </c>
      <c r="J356" s="2" t="b">
        <v>1</v>
      </c>
      <c r="L356" t="str">
        <f>_xlfn.TEXTJOIN("_",TRUE,Table_textAnnotations[[#This Row],[Buch_Key]],Table_textAnnotations[[#This Row],[Anno_Key]],IF(ISBLANK(Table_textAnnotations[[#This Row],[Anno_Page_manuell]]),Table_textAnnotations[[#This Row],[Anno_Page_Auto]],Table_textAnnotations[[#This Row],[Anno_Page_manuell]]))&amp; ".txt"</f>
        <v>D5CMJDJA_DF5E3AQ2_754.txt</v>
      </c>
    </row>
    <row r="357" spans="1:12" ht="30" x14ac:dyDescent="0.25">
      <c r="A357" t="s">
        <v>1016</v>
      </c>
      <c r="B357" t="s">
        <v>1017</v>
      </c>
      <c r="C357">
        <v>2002</v>
      </c>
      <c r="D357" t="s">
        <v>1018</v>
      </c>
      <c r="E357" t="s">
        <v>1019</v>
      </c>
      <c r="F357">
        <v>20</v>
      </c>
      <c r="G357" t="s">
        <v>1020</v>
      </c>
      <c r="H357" s="1" t="str">
        <f>_xlfn.TEXTJOIN(CHAR(10),FALSE, _xlfn.TEXTSPLIT(Table_textAnnotations[[#This Row],[Anno_Text]], "ABSATZ"))</f>
        <v>Die sichtbaren äußeren Teile der Geschlechtsorgane werden zusammen als Vulva bezeichnet und bestehen aus dem sexuell sensiblen Kitzler (Klitoris), der von Hautfalten umgeben  ist, sowie den so genannten Schamlippen.</v>
      </c>
      <c r="I357" s="1" t="s">
        <v>1020</v>
      </c>
      <c r="J357" s="2" t="b">
        <v>1</v>
      </c>
      <c r="L357" t="str">
        <f>_xlfn.TEXTJOIN("_",TRUE,Table_textAnnotations[[#This Row],[Buch_Key]],Table_textAnnotations[[#This Row],[Anno_Key]],IF(ISBLANK(Table_textAnnotations[[#This Row],[Anno_Page_manuell]]),Table_textAnnotations[[#This Row],[Anno_Page_Auto]],Table_textAnnotations[[#This Row],[Anno_Page_manuell]]))&amp; ".txt"</f>
        <v>F7AHE692_E7RZNMHY_20.txt</v>
      </c>
    </row>
    <row r="358" spans="1:12" ht="30" x14ac:dyDescent="0.25">
      <c r="A358" t="s">
        <v>1021</v>
      </c>
      <c r="B358" t="s">
        <v>1022</v>
      </c>
      <c r="C358">
        <v>2003</v>
      </c>
      <c r="D358" t="s">
        <v>1023</v>
      </c>
      <c r="E358" t="s">
        <v>1024</v>
      </c>
      <c r="G358" t="s">
        <v>1025</v>
      </c>
      <c r="H358" s="1" t="str">
        <f>_xlfn.TEXTJOIN(CHAR(10),FALSE, _xlfn.TEXTSPLIT(Table_textAnnotations[[#This Row],[Anno_Text]], "ABSATZ"))</f>
        <v>23 Klitoris, Kitzler [-&gt;] 23 clitoris (m.)</v>
      </c>
      <c r="I358" s="1" t="s">
        <v>1440</v>
      </c>
      <c r="J358" s="2" t="b">
        <v>0</v>
      </c>
      <c r="L358" t="str">
        <f>_xlfn.TEXTJOIN("_",TRUE,Table_textAnnotations[[#This Row],[Buch_Key]],Table_textAnnotations[[#This Row],[Anno_Key]],IF(ISBLANK(Table_textAnnotations[[#This Row],[Anno_Page_manuell]]),Table_textAnnotations[[#This Row],[Anno_Page_Auto]],Table_textAnnotations[[#This Row],[Anno_Page_manuell]]))&amp; ".txt"</f>
        <v>CCKMC2J4_N7LSLMV2_37.txt</v>
      </c>
    </row>
    <row r="359" spans="1:12" ht="30" x14ac:dyDescent="0.25">
      <c r="A359" t="s">
        <v>1026</v>
      </c>
      <c r="B359" t="s">
        <v>1027</v>
      </c>
      <c r="C359">
        <v>2003</v>
      </c>
      <c r="D359" t="s">
        <v>1028</v>
      </c>
      <c r="E359" t="s">
        <v>696</v>
      </c>
      <c r="F359">
        <v>22</v>
      </c>
      <c r="G359" t="s">
        <v>1029</v>
      </c>
      <c r="H359" s="1" t="str">
        <f>_xlfn.TEXTJOIN(CHAR(10),FALSE, _xlfn.TEXTSPLIT(Table_textAnnotations[[#This Row],[Anno_Text]], "ABSATZ"))</f>
        <v>Die äußeren Geschlechtsorgane der Frau, die Klitoris und der Scheideneingang, sind kaum sichtbar, weil sie sich zwischen ihren Oberschenkeln befinden.</v>
      </c>
      <c r="I359" s="1" t="s">
        <v>1029</v>
      </c>
      <c r="J359" s="2" t="b">
        <v>1</v>
      </c>
      <c r="L359" t="str">
        <f>_xlfn.TEXTJOIN("_",TRUE,Table_textAnnotations[[#This Row],[Buch_Key]],Table_textAnnotations[[#This Row],[Anno_Key]],IF(ISBLANK(Table_textAnnotations[[#This Row],[Anno_Page_manuell]]),Table_textAnnotations[[#This Row],[Anno_Page_Auto]],Table_textAnnotations[[#This Row],[Anno_Page_manuell]]))&amp; ".txt"</f>
        <v>RT463S37_TVFNYZHQ_22.txt</v>
      </c>
    </row>
    <row r="360" spans="1:12" x14ac:dyDescent="0.25">
      <c r="A360" t="s">
        <v>1026</v>
      </c>
      <c r="B360" t="s">
        <v>1027</v>
      </c>
      <c r="C360">
        <v>2003</v>
      </c>
      <c r="D360" t="s">
        <v>1030</v>
      </c>
      <c r="E360" t="s">
        <v>696</v>
      </c>
      <c r="F360">
        <v>22</v>
      </c>
      <c r="G360" t="s">
        <v>1031</v>
      </c>
      <c r="H360" s="1" t="str">
        <f>_xlfn.TEXTJOIN(CHAR(10),FALSE, _xlfn.TEXTSPLIT(Table_textAnnotations[[#This Row],[Anno_Text]], "ABSATZ"))</f>
        <v>Die Vulva bedeckt die Klitoris,  den Scheideneingang, die Öffnung der Harnröhre (Urethra)  und die Schamlippen.</v>
      </c>
      <c r="I360" s="1" t="s">
        <v>1441</v>
      </c>
      <c r="J360" s="2" t="b">
        <v>1</v>
      </c>
      <c r="L360" t="str">
        <f>_xlfn.TEXTJOIN("_",TRUE,Table_textAnnotations[[#This Row],[Buch_Key]],Table_textAnnotations[[#This Row],[Anno_Key]],IF(ISBLANK(Table_textAnnotations[[#This Row],[Anno_Page_manuell]]),Table_textAnnotations[[#This Row],[Anno_Page_Auto]],Table_textAnnotations[[#This Row],[Anno_Page_manuell]]))&amp; ".txt"</f>
        <v>RT463S37_34SWFFWH_22.txt</v>
      </c>
    </row>
    <row r="361" spans="1:12" ht="30" x14ac:dyDescent="0.25">
      <c r="A361" t="s">
        <v>1026</v>
      </c>
      <c r="B361" t="s">
        <v>1027</v>
      </c>
      <c r="C361">
        <v>2003</v>
      </c>
      <c r="D361" t="s">
        <v>1032</v>
      </c>
      <c r="E361" t="s">
        <v>696</v>
      </c>
      <c r="F361">
        <v>22</v>
      </c>
      <c r="G361" t="s">
        <v>1033</v>
      </c>
      <c r="H361" s="1" t="str">
        <f>_xlfn.TEXTJOIN(CHAR(10),FALSE, _xlfn.TEXTSPLIT(Table_textAnnotations[[#This Row],[Anno_Text]], "ABSATZ"))</f>
        <v>Die Schamlippen (Labia) bestehen aus zwei Paar weichen Hautfalten in der Vulva. Sie bedecken  die inneren Teile der Vulva, die  Klitoris, die Öffnung der Harnröhre und den Scheideneingang.</v>
      </c>
      <c r="I361" s="1" t="s">
        <v>1033</v>
      </c>
      <c r="J361" s="2" t="b">
        <v>1</v>
      </c>
      <c r="L361" t="str">
        <f>_xlfn.TEXTJOIN("_",TRUE,Table_textAnnotations[[#This Row],[Buch_Key]],Table_textAnnotations[[#This Row],[Anno_Key]],IF(ISBLANK(Table_textAnnotations[[#This Row],[Anno_Page_manuell]]),Table_textAnnotations[[#This Row],[Anno_Page_Auto]],Table_textAnnotations[[#This Row],[Anno_Page_manuell]]))&amp; ".txt"</f>
        <v>RT463S37_3VUP3V4I_22.txt</v>
      </c>
    </row>
    <row r="362" spans="1:12" ht="30" x14ac:dyDescent="0.25">
      <c r="A362" t="s">
        <v>1026</v>
      </c>
      <c r="B362" t="s">
        <v>1027</v>
      </c>
      <c r="C362">
        <v>2003</v>
      </c>
      <c r="D362" t="s">
        <v>1034</v>
      </c>
      <c r="E362" t="s">
        <v>696</v>
      </c>
      <c r="F362">
        <v>22</v>
      </c>
      <c r="G362" t="s">
        <v>1035</v>
      </c>
      <c r="H362" s="1" t="str">
        <f>_xlfn.TEXTJOIN(CHAR(10),FALSE, _xlfn.TEXTSPLIT(Table_textAnnotations[[#This Row],[Anno_Text]], "ABSATZ"))</f>
        <v>Die Klitoris ist eine kleine Erhebung aus Gewebe von der Größe einer Erbse. Wenn die Klitoris berührt und gestreichelt wird, entsteht ein angenehmes Gefühl,ein lustvolles Prickeln. Der ganze Körper reagiert erregt, fühlt sich warm und »sexy&lt;&lt;.</v>
      </c>
      <c r="I362" s="1" t="s">
        <v>1410</v>
      </c>
      <c r="J362" s="2" t="b">
        <v>1</v>
      </c>
      <c r="L362" t="str">
        <f>_xlfn.TEXTJOIN("_",TRUE,Table_textAnnotations[[#This Row],[Buch_Key]],Table_textAnnotations[[#This Row],[Anno_Key]],IF(ISBLANK(Table_textAnnotations[[#This Row],[Anno_Page_manuell]]),Table_textAnnotations[[#This Row],[Anno_Page_Auto]],Table_textAnnotations[[#This Row],[Anno_Page_manuell]]))&amp; ".txt"</f>
        <v>RT463S37_B88NBWQP_22.txt</v>
      </c>
    </row>
    <row r="363" spans="1:12" ht="30" x14ac:dyDescent="0.25">
      <c r="A363" t="s">
        <v>1026</v>
      </c>
      <c r="B363" t="s">
        <v>1027</v>
      </c>
      <c r="C363">
        <v>2003</v>
      </c>
      <c r="D363" t="s">
        <v>1036</v>
      </c>
      <c r="E363" t="s">
        <v>707</v>
      </c>
      <c r="F363">
        <v>48</v>
      </c>
      <c r="G363" t="s">
        <v>1037</v>
      </c>
      <c r="H363" s="1" t="str">
        <f>_xlfn.TEXTJOIN(CHAR(10),FALSE, _xlfn.TEXTSPLIT(Table_textAnnotations[[#This Row],[Anno_Text]], "ABSATZ"))</f>
        <v>Wenn Leute onanieren, reiben  sie ihre äußeren Geschlechtsorgane mit der Hand oder mit einem  weichen Gegenstand, zum Beispiel einem Kissen. Ein Mädchen  streichelt meist ihre Klitoris oder  Brüste, ein Junge seinen Penis.</v>
      </c>
      <c r="I363" s="1" t="s">
        <v>1037</v>
      </c>
      <c r="J363" s="2" t="b">
        <v>0</v>
      </c>
      <c r="L363" t="str">
        <f>_xlfn.TEXTJOIN("_",TRUE,Table_textAnnotations[[#This Row],[Buch_Key]],Table_textAnnotations[[#This Row],[Anno_Key]],IF(ISBLANK(Table_textAnnotations[[#This Row],[Anno_Page_manuell]]),Table_textAnnotations[[#This Row],[Anno_Page_Auto]],Table_textAnnotations[[#This Row],[Anno_Page_manuell]]))&amp; ".txt"</f>
        <v>RT463S37_SLEICKIF_48.txt</v>
      </c>
    </row>
    <row r="364" spans="1:12" ht="30" x14ac:dyDescent="0.25">
      <c r="A364" t="s">
        <v>1026</v>
      </c>
      <c r="B364" t="s">
        <v>1027</v>
      </c>
      <c r="C364">
        <v>2003</v>
      </c>
      <c r="D364" t="s">
        <v>1038</v>
      </c>
      <c r="E364" t="s">
        <v>356</v>
      </c>
      <c r="F364">
        <v>55</v>
      </c>
      <c r="G364" t="s">
        <v>1039</v>
      </c>
      <c r="H364" s="1" t="str">
        <f>_xlfn.TEXTJOIN(CHAR(10),FALSE, _xlfn.TEXTSPLIT(Table_textAnnotations[[#This Row],[Anno_Text]], "ABSATZ"))</f>
        <v>Geschlechtsverkehr beginnt gewöhnlich mit Umarmen, Streicheln und Küssen. Nach einer Weile wird die Vagina feucht, die Klitoris verhärtet sich und der Penis erigiert, wird steif und gröBer.</v>
      </c>
      <c r="I364" s="1" t="s">
        <v>1039</v>
      </c>
      <c r="J364" s="2" t="b">
        <v>1</v>
      </c>
      <c r="L364" t="str">
        <f>_xlfn.TEXTJOIN("_",TRUE,Table_textAnnotations[[#This Row],[Buch_Key]],Table_textAnnotations[[#This Row],[Anno_Key]],IF(ISBLANK(Table_textAnnotations[[#This Row],[Anno_Page_manuell]]),Table_textAnnotations[[#This Row],[Anno_Page_Auto]],Table_textAnnotations[[#This Row],[Anno_Page_manuell]]))&amp; ".txt"</f>
        <v>RT463S37_ITK2IJVS_55.txt</v>
      </c>
    </row>
    <row r="365" spans="1:12" x14ac:dyDescent="0.25">
      <c r="A365" t="s">
        <v>1026</v>
      </c>
      <c r="B365" t="s">
        <v>1027</v>
      </c>
      <c r="C365">
        <v>2003</v>
      </c>
      <c r="D365" t="s">
        <v>1040</v>
      </c>
      <c r="E365" t="s">
        <v>712</v>
      </c>
      <c r="F365">
        <v>56</v>
      </c>
      <c r="G365" t="s">
        <v>1041</v>
      </c>
      <c r="H365" s="1" t="str">
        <f>_xlfn.TEXTJOIN(CHAR(10),FALSE, _xlfn.TEXTSPLIT(Table_textAnnotations[[#This Row],[Anno_Text]], "ABSATZ"))</f>
        <v>Umarmen</v>
      </c>
      <c r="I365" s="1" t="s">
        <v>1041</v>
      </c>
      <c r="J365" s="2" t="b">
        <v>0</v>
      </c>
      <c r="L365" t="str">
        <f>_xlfn.TEXTJOIN("_",TRUE,Table_textAnnotations[[#This Row],[Buch_Key]],Table_textAnnotations[[#This Row],[Anno_Key]],IF(ISBLANK(Table_textAnnotations[[#This Row],[Anno_Page_manuell]]),Table_textAnnotations[[#This Row],[Anno_Page_Auto]],Table_textAnnotations[[#This Row],[Anno_Page_manuell]]))&amp; ".txt"</f>
        <v>RT463S37_NS55PJEF_56.txt</v>
      </c>
    </row>
    <row r="366" spans="1:12" ht="30" x14ac:dyDescent="0.25">
      <c r="A366" t="s">
        <v>1026</v>
      </c>
      <c r="B366" t="s">
        <v>1027</v>
      </c>
      <c r="C366">
        <v>2003</v>
      </c>
      <c r="D366" t="s">
        <v>1042</v>
      </c>
      <c r="E366" t="s">
        <v>712</v>
      </c>
      <c r="F366">
        <v>56</v>
      </c>
      <c r="G366" t="s">
        <v>1043</v>
      </c>
      <c r="H366" s="1" t="str">
        <f>_xlfn.TEXTJOIN(CHAR(10),FALSE, _xlfn.TEXTSPLIT(Table_textAnnotations[[#This Row],[Anno_Text]], "ABSATZ"))</f>
        <v>Wenn Mädchen oder Frauen  zum Höhepunkt kommen, dann  in der Regel dadurch, dass die Klitoris direkt gestreichelt oder indirekt durch die Bewegung des  Penis stimuliert wird.</v>
      </c>
      <c r="I366" s="1" t="s">
        <v>1043</v>
      </c>
      <c r="J366" s="2" t="b">
        <v>1</v>
      </c>
      <c r="L366" t="str">
        <f>_xlfn.TEXTJOIN("_",TRUE,Table_textAnnotations[[#This Row],[Buch_Key]],Table_textAnnotations[[#This Row],[Anno_Key]],IF(ISBLANK(Table_textAnnotations[[#This Row],[Anno_Page_manuell]]),Table_textAnnotations[[#This Row],[Anno_Page_Auto]],Table_textAnnotations[[#This Row],[Anno_Page_manuell]]))&amp; ".txt"</f>
        <v>RT463S37_U8C2PJQJ_56.txt</v>
      </c>
    </row>
    <row r="367" spans="1:12" ht="180" x14ac:dyDescent="0.25">
      <c r="A367" t="s">
        <v>1044</v>
      </c>
      <c r="B367" t="s">
        <v>1045</v>
      </c>
      <c r="C367">
        <v>2004</v>
      </c>
      <c r="D367" t="s">
        <v>1046</v>
      </c>
      <c r="E367" t="s">
        <v>496</v>
      </c>
      <c r="G367" t="s">
        <v>1047</v>
      </c>
      <c r="H367" s="1" t="str">
        <f>_xlfn.TEXTJOIN(CHAR(10),FALSE, _xlfn.TEXTSPLIT(Table_textAnnotations[[#This Row],[Anno_Text]], "ABSATZ"))</f>
        <v>Wer übrigens doch Spuren hinterlassen hat, sind Frauen der Frühen Neuzeit, die sich als Männer verkleideten und als Soldat oder  als Seemann Dienst taten. Einige sollen sogar Piraten geworden  sein.Diese Form der Travestie war ein damals ziemlich häufigauftretendes Phänomen, das in Büchern undQuasi-(Auto-)Biographien  besungen wurde.Viele wurden erst nachJahren und manchmal erst  nach ihrem Tod als Frauentlarvt. Die Gründefürdiese Travestie  warenverschiedener Natur, aber einigeFrauen hatten sicher auch  sexuelle Absichten. Einigen gelang es sogar,inihrer männlichen  Aufmachung eine Frau zu heiraten. Ein solcher Fall aus derZeit, in  der van der Merwede seine Triumphe feierte, fand seinen Wegin  die internationale medizinische Literatur dieserZeit. Eine Frau, die  als Soldat gedient hatte, wurde von Dr. Nicolaas Tulp (bekannt von  Rembrandts Gemälde Die Anatomiedes Dr. Tulp) untersucht und  beschrieben. Hendrikje Verschuur und Trijntje Barends waren so  verliebt ineinander, dass sie geheiratet hätten, wenn das zulässig  gewesenwäre. Bei derkörperlichen Untersuchungkonstatierte Tulp, dass Hendrikje eine außerordentlich große Klitoris hatte, mit  der sie den Akt mit Trijntje vollzog. Der Befundwar nichtso  sonderbar, wie es scheint: Die Ärzte stellten diese Art Befund sehr  häufig bei Frauen, die lesbischer Verhaltensweisen verdächtigtoder  beschuldigt wurden. In vielen Fällen sahen sie, was siesehen wollten oder zu sehen erwarteten, wie sie das schonjahrhundertelang  bei Untersuchungen von Geschlechtsteilen getanhatten.</v>
      </c>
      <c r="I367" s="1" t="s">
        <v>1427</v>
      </c>
      <c r="J367" s="2" t="b">
        <v>0</v>
      </c>
      <c r="L367" t="str">
        <f>_xlfn.TEXTJOIN("_",TRUE,Table_textAnnotations[[#This Row],[Buch_Key]],Table_textAnnotations[[#This Row],[Anno_Key]],IF(ISBLANK(Table_textAnnotations[[#This Row],[Anno_Page_manuell]]),Table_textAnnotations[[#This Row],[Anno_Page_Auto]],Table_textAnnotations[[#This Row],[Anno_Page_manuell]]))&amp; ".txt"</f>
        <v>52E4WI2V_Y88GNXPY_71.txt</v>
      </c>
    </row>
    <row r="368" spans="1:12" ht="75" x14ac:dyDescent="0.25">
      <c r="A368" t="s">
        <v>1044</v>
      </c>
      <c r="B368" t="s">
        <v>1045</v>
      </c>
      <c r="C368">
        <v>2004</v>
      </c>
      <c r="D368" t="s">
        <v>1048</v>
      </c>
      <c r="E368" t="s">
        <v>381</v>
      </c>
      <c r="G368" t="s">
        <v>1049</v>
      </c>
      <c r="H368" s="1" t="str">
        <f>_xlfn.TEXTJOIN(CHAR(10),FALSE, _xlfn.TEXTSPLIT(Table_textAnnotations[[#This Row],[Anno_Text]], "ABSATZ"))</f>
        <v>Bei den Sheelas dagegen wird Fruchtbarkeit durch eine oft verblüffende Konzentration auf die Genitalien ausgedrückt. Diese  sind bei manchen Figuren nicht so stark ausgeprägt, bei vielen aber sind sie mit so realistischen Einzelheiten herausgearbeitet, dass  man sich unwillkürlich fragt, ob sie möglicherweise für den anatomischen Unterricht  gedacht waren. Bei einigen gut erhaltenen  Figuren sind nicht nur die Vulva präzise herausgemeiẞelt, sondern auch die Klitoris und  der Anus. Das ist umso bemerkenswerter, als  es oft das einzige realistische Merkmal der  ganzen Skulptur ist.</v>
      </c>
      <c r="I368" s="1" t="s">
        <v>1049</v>
      </c>
      <c r="J368" s="2" t="b">
        <v>0</v>
      </c>
      <c r="L368" t="str">
        <f>_xlfn.TEXTJOIN("_",TRUE,Table_textAnnotations[[#This Row],[Buch_Key]],Table_textAnnotations[[#This Row],[Anno_Key]],IF(ISBLANK(Table_textAnnotations[[#This Row],[Anno_Page_manuell]]),Table_textAnnotations[[#This Row],[Anno_Page_Auto]],Table_textAnnotations[[#This Row],[Anno_Page_manuell]]))&amp; ".txt"</f>
        <v>52E4WI2V_87UB533F_75.txt</v>
      </c>
    </row>
    <row r="369" spans="1:12" ht="45" x14ac:dyDescent="0.25">
      <c r="A369" t="s">
        <v>1050</v>
      </c>
      <c r="B369" t="s">
        <v>1051</v>
      </c>
      <c r="C369">
        <v>2005</v>
      </c>
      <c r="D369" t="s">
        <v>1052</v>
      </c>
      <c r="E369" t="s">
        <v>1053</v>
      </c>
      <c r="G369" t="s">
        <v>1054</v>
      </c>
      <c r="H369" s="1" t="str">
        <f>_xlfn.TEXTJOIN(CHAR(10),FALSE, _xlfn.TEXTSPLIT(Table_textAnnotations[[#This Row],[Anno_Text]], "ABSATZ"))</f>
        <v>Die extremste Art des Schutzes der Jungfräulichkeit besteht  in der Abtrennung der Klitoris sowie der großen und der  kleinen Schamlippen des Mädchens und schließlich in der  Ausschabung der Vaginawände mit einem scharfen Gegenstand (Glasscherbe, Rasiermesser oder Kartoffelschälmesser).</v>
      </c>
      <c r="I369" s="1" t="s">
        <v>1054</v>
      </c>
      <c r="J369" s="2" t="b">
        <v>0</v>
      </c>
      <c r="L369" t="str">
        <f>_xlfn.TEXTJOIN("_",TRUE,Table_textAnnotations[[#This Row],[Buch_Key]],Table_textAnnotations[[#This Row],[Anno_Key]],IF(ISBLANK(Table_textAnnotations[[#This Row],[Anno_Page_manuell]]),Table_textAnnotations[[#This Row],[Anno_Page_Auto]],Table_textAnnotations[[#This Row],[Anno_Page_manuell]]))&amp; ".txt"</f>
        <v>ETEH7RXN_93UZJF82_108.txt</v>
      </c>
    </row>
    <row r="370" spans="1:12" ht="75" x14ac:dyDescent="0.25">
      <c r="A370" t="s">
        <v>1055</v>
      </c>
      <c r="B370" t="s">
        <v>1056</v>
      </c>
      <c r="C370">
        <v>2006</v>
      </c>
      <c r="D370" t="s">
        <v>1057</v>
      </c>
      <c r="E370" t="s">
        <v>1058</v>
      </c>
      <c r="G370" t="s">
        <v>1059</v>
      </c>
      <c r="H370" s="1" t="str">
        <f>_xlfn.TEXTJOIN(CHAR(10),FALSE, _xlfn.TEXTSPLIT(Table_textAnnotations[[#This Row],[Anno_Text]], "ABSATZ"))</f>
        <v>Die kleinen Schamlippen sind der Urethra pars spongiosa homolog.  ■ Die Klitoris (Kitzler) ist eine kleine zylindrische Masse aus erigierbarem Gewebe und Nerven und liegt an der vorderen Verbindung der kleinen Schamlippen. Eine Hautschicht, die Klitorisvorhaut, wird an dem Punkt gebildet, an dem sich die kleinen Schamlippen vereinigen, und sie bedeckt den Klitoriskörper. Der exponierte Teil der Klitoris heißt Glans. Die Klitoris ist der Glans penis  (Eichel) beim Mann homolog. Wie die männliche Struktur, so ist auch die Klitoris fähig, sich durch Berührungsreize zu vergrößern, und sie spielt eine Rolle bei der sexuellen Erregung der Frau.</v>
      </c>
      <c r="I370" s="1" t="s">
        <v>1411</v>
      </c>
      <c r="J370" s="2" t="b">
        <v>1</v>
      </c>
      <c r="L370" t="str">
        <f>_xlfn.TEXTJOIN("_",TRUE,Table_textAnnotations[[#This Row],[Buch_Key]],Table_textAnnotations[[#This Row],[Anno_Key]],IF(ISBLANK(Table_textAnnotations[[#This Row],[Anno_Page_manuell]]),Table_textAnnotations[[#This Row],[Anno_Page_Auto]],Table_textAnnotations[[#This Row],[Anno_Page_manuell]]))&amp; ".txt"</f>
        <v>ZHWETETE_Q5AKZE4P_1255.txt</v>
      </c>
    </row>
    <row r="371" spans="1:12" x14ac:dyDescent="0.25">
      <c r="A371" t="s">
        <v>1055</v>
      </c>
      <c r="B371" t="s">
        <v>1056</v>
      </c>
      <c r="C371">
        <v>2006</v>
      </c>
      <c r="D371" t="s">
        <v>1060</v>
      </c>
      <c r="E371" t="s">
        <v>1058</v>
      </c>
      <c r="G371" t="s">
        <v>1061</v>
      </c>
      <c r="H371" s="1" t="str">
        <f>_xlfn.TEXTJOIN(CHAR(10),FALSE, _xlfn.TEXTSPLIT(Table_textAnnotations[[#This Row],[Anno_Text]], "ABSATZ"))</f>
        <v>Anterior zur Vaginalmündung und posterior zur Klitoris ist die äußere Harnröhrenmündung, die Öffnung der Harnröhre nach außen.</v>
      </c>
      <c r="I371" s="1" t="s">
        <v>1061</v>
      </c>
      <c r="J371" s="2" t="b">
        <v>1</v>
      </c>
      <c r="L371" t="str">
        <f>_xlfn.TEXTJOIN("_",TRUE,Table_textAnnotations[[#This Row],[Buch_Key]],Table_textAnnotations[[#This Row],[Anno_Key]],IF(ISBLANK(Table_textAnnotations[[#This Row],[Anno_Page_manuell]]),Table_textAnnotations[[#This Row],[Anno_Page_Auto]],Table_textAnnotations[[#This Row],[Anno_Page_manuell]]))&amp; ".txt"</f>
        <v>ZHWETETE_Q498RZE4_1255.txt</v>
      </c>
    </row>
    <row r="372" spans="1:12" ht="60" x14ac:dyDescent="0.25">
      <c r="A372" t="s">
        <v>1055</v>
      </c>
      <c r="B372" t="s">
        <v>1056</v>
      </c>
      <c r="C372">
        <v>2006</v>
      </c>
      <c r="D372" t="s">
        <v>1062</v>
      </c>
      <c r="E372" t="s">
        <v>1058</v>
      </c>
      <c r="G372" t="s">
        <v>1063</v>
      </c>
      <c r="H372" s="1" t="str">
        <f>_xlfn.TEXTJOIN(CHAR(10),FALSE, _xlfn.TEXTSPLIT(Table_textAnnotations[[#This Row],[Anno_Text]], "ABSATZ"))</f>
        <v>Die Bulbi vestibuli (Schwellkörper, Abb. 28.21) bestehen aus zwei verlängerten erigierbaren Gewebsmassen, tief liegend zu den Schamlippen, auf jeder Seite der Vaginalmündung. Die Bulbi vestibuli füllen sich während der sexuellen Erregung mit Blut an, verengen den Scheidenvorhof und üben Druck auf den Penis während des  Geschlechtsverkehrs aus. Die Bulbi vestibuli entsprechen dem Corpus spongiosum und dem Bulbus penis beim  Mann.</v>
      </c>
      <c r="I372" s="1" t="s">
        <v>1063</v>
      </c>
      <c r="J372" s="2" t="b">
        <v>1</v>
      </c>
      <c r="L372" t="str">
        <f>_xlfn.TEXTJOIN("_",TRUE,Table_textAnnotations[[#This Row],[Buch_Key]],Table_textAnnotations[[#This Row],[Anno_Key]],IF(ISBLANK(Table_textAnnotations[[#This Row],[Anno_Page_manuell]]),Table_textAnnotations[[#This Row],[Anno_Page_Auto]],Table_textAnnotations[[#This Row],[Anno_Page_manuell]]))&amp; ".txt"</f>
        <v>ZHWETETE_CZEBA3FD_1255.txt</v>
      </c>
    </row>
    <row r="373" spans="1:12" ht="30" x14ac:dyDescent="0.25">
      <c r="A373" t="s">
        <v>1055</v>
      </c>
      <c r="B373" t="s">
        <v>1056</v>
      </c>
      <c r="C373">
        <v>2006</v>
      </c>
      <c r="D373" t="s">
        <v>1064</v>
      </c>
      <c r="E373" t="s">
        <v>1065</v>
      </c>
      <c r="F373">
        <v>1268</v>
      </c>
      <c r="G373" t="s">
        <v>1066</v>
      </c>
      <c r="H373" s="1" t="str">
        <f>_xlfn.TEXTJOIN(CHAR(10),FALSE, _xlfn.TEXTSPLIT(Table_textAnnotations[[#This Row],[Anno_Text]], "ABSATZ"))</f>
        <v>Die äußeren Genitalien sowohl von weiblichen als auch von männlichen Embryonen (Penis und Hodensack beim männlichen Embryo und Klitoris, Schamlippen und Vaginalmündung beim weiblichen Embryo) bleiben ebensobis etwa zur achten Woche undifferenziert.</v>
      </c>
      <c r="I373" s="1" t="s">
        <v>1066</v>
      </c>
      <c r="J373" s="2" t="b">
        <v>1</v>
      </c>
      <c r="L373" t="str">
        <f>_xlfn.TEXTJOIN("_",TRUE,Table_textAnnotations[[#This Row],[Buch_Key]],Table_textAnnotations[[#This Row],[Anno_Key]],IF(ISBLANK(Table_textAnnotations[[#This Row],[Anno_Page_manuell]]),Table_textAnnotations[[#This Row],[Anno_Page_Auto]],Table_textAnnotations[[#This Row],[Anno_Page_manuell]]))&amp; ".txt"</f>
        <v>ZHWETETE_X4LXJP4E_1268.txt</v>
      </c>
    </row>
    <row r="374" spans="1:12" x14ac:dyDescent="0.25">
      <c r="A374" t="s">
        <v>1055</v>
      </c>
      <c r="B374" t="s">
        <v>1056</v>
      </c>
      <c r="C374">
        <v>2006</v>
      </c>
      <c r="D374" t="s">
        <v>1067</v>
      </c>
      <c r="E374" t="s">
        <v>1065</v>
      </c>
      <c r="F374">
        <v>1268</v>
      </c>
      <c r="G374" t="s">
        <v>1068</v>
      </c>
      <c r="H374" s="1" t="str">
        <f>_xlfn.TEXTJOIN(CHAR(10),FALSE, _xlfn.TEXTSPLIT(Table_textAnnotations[[#This Row],[Anno_Text]], "ABSATZ"))</f>
        <v>In Abwesen  heit von DHT entsteht aus dem Genitalhöcker die Klitoris in  weiblichen Embryonen.</v>
      </c>
      <c r="I374" s="1" t="s">
        <v>1454</v>
      </c>
      <c r="J374" s="2" t="b">
        <v>1</v>
      </c>
      <c r="L374" t="str">
        <f>_xlfn.TEXTJOIN("_",TRUE,Table_textAnnotations[[#This Row],[Buch_Key]],Table_textAnnotations[[#This Row],[Anno_Key]],IF(ISBLANK(Table_textAnnotations[[#This Row],[Anno_Page_manuell]]),Table_textAnnotations[[#This Row],[Anno_Page_Auto]],Table_textAnnotations[[#This Row],[Anno_Page_manuell]]))&amp; ".txt"</f>
        <v>ZHWETETE_AD9XWV6A_1268.txt</v>
      </c>
    </row>
    <row r="375" spans="1:12" ht="45" x14ac:dyDescent="0.25">
      <c r="A375" t="s">
        <v>1069</v>
      </c>
      <c r="B375" t="s">
        <v>1070</v>
      </c>
      <c r="C375">
        <v>2007</v>
      </c>
      <c r="D375" t="s">
        <v>1071</v>
      </c>
      <c r="E375" t="s">
        <v>1072</v>
      </c>
      <c r="G375" t="s">
        <v>1073</v>
      </c>
      <c r="H375" s="1" t="str">
        <f>_xlfn.TEXTJOIN(CHAR(10),FALSE, _xlfn.TEXTSPLIT(Table_textAnnotations[[#This Row],[Anno_Text]], "ABSATZ"))</f>
        <v>[Kontext: Edwards-Syndrom (Trisomie 18)]
Genitalien. M: Kryptorchismus; w: (Hypoplasie der Labia major, prominente Klitoris).</v>
      </c>
      <c r="I375" s="1" t="s">
        <v>1387</v>
      </c>
      <c r="J375" s="2" t="b">
        <v>1</v>
      </c>
      <c r="K375" t="s">
        <v>1320</v>
      </c>
      <c r="L375" t="str">
        <f>_xlfn.TEXTJOIN("_",TRUE,Table_textAnnotations[[#This Row],[Buch_Key]],Table_textAnnotations[[#This Row],[Anno_Key]],IF(ISBLANK(Table_textAnnotations[[#This Row],[Anno_Page_manuell]]),Table_textAnnotations[[#This Row],[Anno_Page_Auto]],Table_textAnnotations[[#This Row],[Anno_Page_manuell]]))&amp; ".txt"</f>
        <v>W75GXN54_BC8NA5WI_274.txt</v>
      </c>
    </row>
    <row r="376" spans="1:12" ht="30" x14ac:dyDescent="0.25">
      <c r="A376" t="s">
        <v>1069</v>
      </c>
      <c r="B376" t="s">
        <v>1070</v>
      </c>
      <c r="C376">
        <v>2007</v>
      </c>
      <c r="D376" t="s">
        <v>1074</v>
      </c>
      <c r="E376" t="s">
        <v>1075</v>
      </c>
      <c r="F376">
        <v>576</v>
      </c>
      <c r="G376" t="s">
        <v>1076</v>
      </c>
      <c r="H376" s="1" t="str">
        <f>_xlfn.TEXTJOIN(CHAR(10),FALSE, _xlfn.TEXTSPLIT(Table_textAnnotations[[#This Row],[Anno_Text]], "ABSATZ"))</f>
        <v>Ein phänotypisch ambivalentes Genitale gestattet zunächst keine eindeutige Geschlechtszuordnung. Zu den Leitsymptomen gehören Klitorishypertrophie, Sinus urogenitalis, par tielle labiale Fusion, Hypospadie, Hodenhochstand, Skrotum bipartitum.</v>
      </c>
      <c r="I376" s="1" t="s">
        <v>1424</v>
      </c>
      <c r="J376" s="2" t="b">
        <v>1</v>
      </c>
      <c r="K376" t="s">
        <v>1320</v>
      </c>
      <c r="L376" t="str">
        <f>_xlfn.TEXTJOIN("_",TRUE,Table_textAnnotations[[#This Row],[Buch_Key]],Table_textAnnotations[[#This Row],[Anno_Key]],IF(ISBLANK(Table_textAnnotations[[#This Row],[Anno_Page_manuell]]),Table_textAnnotations[[#This Row],[Anno_Page_Auto]],Table_textAnnotations[[#This Row],[Anno_Page_manuell]]))&amp; ".txt"</f>
        <v>W75GXN54_ZZNPWWZC_576.txt</v>
      </c>
    </row>
    <row r="377" spans="1:12" ht="75" x14ac:dyDescent="0.25">
      <c r="A377" t="s">
        <v>1069</v>
      </c>
      <c r="B377" t="s">
        <v>1070</v>
      </c>
      <c r="C377">
        <v>2007</v>
      </c>
      <c r="D377" t="s">
        <v>1077</v>
      </c>
      <c r="E377" t="s">
        <v>999</v>
      </c>
      <c r="F377">
        <v>580</v>
      </c>
      <c r="G377" t="s">
        <v>1078</v>
      </c>
      <c r="H377" s="1" t="str">
        <f>_xlfn.TEXTJOIN(CHAR(10),FALSE, _xlfn.TEXTSPLIT(Table_textAnnotations[[#This Row],[Anno_Text]], "ABSATZ"))</f>
        <v>[Kontext: Isolierte Androgensynthesedefekte]
Klinische Symptome und Verlauf. Fast alle beschriebenen Patienten haben zum Zeitpunkt der Geburt ein weibliches äußeres Genitale. Ein Uterus ist nicht vorhanden, die Vagina endet blind. Mit Eintritt in die Pubertät wird eine unterschiedlich ausgeprägte Virilisierung mit Stimmbruch und Klitorishypertrophie beobachtet. Eine Brustdrüsenentwicklung bleibt meist aus.</v>
      </c>
      <c r="I377" s="1" t="s">
        <v>1388</v>
      </c>
      <c r="J377" s="2" t="b">
        <v>1</v>
      </c>
      <c r="K377" t="s">
        <v>1320</v>
      </c>
      <c r="L377" t="str">
        <f>_xlfn.TEXTJOIN("_",TRUE,Table_textAnnotations[[#This Row],[Buch_Key]],Table_textAnnotations[[#This Row],[Anno_Key]],IF(ISBLANK(Table_textAnnotations[[#This Row],[Anno_Page_manuell]]),Table_textAnnotations[[#This Row],[Anno_Page_Auto]],Table_textAnnotations[[#This Row],[Anno_Page_manuell]]))&amp; ".txt"</f>
        <v>W75GXN54_JGJIGPLS_580.txt</v>
      </c>
    </row>
    <row r="378" spans="1:12" ht="75" x14ac:dyDescent="0.25">
      <c r="A378" t="s">
        <v>1069</v>
      </c>
      <c r="B378" t="s">
        <v>1070</v>
      </c>
      <c r="C378">
        <v>2007</v>
      </c>
      <c r="D378" t="s">
        <v>1079</v>
      </c>
      <c r="E378" t="s">
        <v>1080</v>
      </c>
      <c r="F378">
        <v>589</v>
      </c>
      <c r="G378" t="s">
        <v>1081</v>
      </c>
      <c r="H378" s="1" t="str">
        <f>_xlfn.TEXTJOIN(CHAR(10),FALSE, _xlfn.TEXTSPLIT(Table_textAnnotations[[#This Row],[Anno_Text]], "ABSATZ"))</f>
        <v>[Kontext: Normvarianten der vorzeitigen Pubertätsentwicklung -&gt; Prämature Adrenarche]
Klinische Symptome. Betroffen sind v. a. Mädchen zwischen dem 4. und 7. Lebensjahr. Bis auf das Auftreten von Schamund Achselbehaarung bestehen keine Pubertätszeichen. Weitere Zeichen der Androgenisierung (Klitorishypertrophie, Akne etc.) fehlen ebenfalls.</v>
      </c>
      <c r="I378" s="1" t="s">
        <v>1412</v>
      </c>
      <c r="J378" s="2" t="b">
        <v>1</v>
      </c>
      <c r="K378" t="s">
        <v>1320</v>
      </c>
      <c r="L378" t="str">
        <f>_xlfn.TEXTJOIN("_",TRUE,Table_textAnnotations[[#This Row],[Buch_Key]],Table_textAnnotations[[#This Row],[Anno_Key]],IF(ISBLANK(Table_textAnnotations[[#This Row],[Anno_Page_manuell]]),Table_textAnnotations[[#This Row],[Anno_Page_Auto]],Table_textAnnotations[[#This Row],[Anno_Page_manuell]]))&amp; ".txt"</f>
        <v>W75GXN54_2428HTY5_589.txt</v>
      </c>
    </row>
    <row r="379" spans="1:12" ht="90" x14ac:dyDescent="0.25">
      <c r="A379" t="s">
        <v>1082</v>
      </c>
      <c r="B379" t="s">
        <v>1083</v>
      </c>
      <c r="C379">
        <v>2008</v>
      </c>
      <c r="D379" t="s">
        <v>1084</v>
      </c>
      <c r="E379" t="s">
        <v>107</v>
      </c>
      <c r="F379">
        <v>88</v>
      </c>
      <c r="G379" t="s">
        <v>1085</v>
      </c>
      <c r="H379" s="1" t="str">
        <f>_xlfn.TEXTJOIN(CHAR(10),FALSE, _xlfn.TEXTSPLIT(Table_textAnnotations[[#This Row],[Anno_Text]], "ABSATZ"))</f>
        <v>Klitoris/Glans penis  Lage:  • Vor der Incisura supratragica am Vorderrand der aufsteigenden Helix,  wo der knorpelige Rand unter der Haut zu tasten ist. Unterhalb Punkt  Urethra.  Entspricht in seiner Bedeutung dem Frustrationspunkt.  Cave: wird oft verwechselt mit dem Interferonpunkt in der Incisura  supratragica (s. a. „Übergeordnete Punkte“ →S. 207 und „Hilfslinien"  → S. 287).</v>
      </c>
      <c r="I379" s="1" t="s">
        <v>1453</v>
      </c>
      <c r="J379" s="2" t="b">
        <v>1</v>
      </c>
      <c r="L379" t="str">
        <f>_xlfn.TEXTJOIN("_",TRUE,Table_textAnnotations[[#This Row],[Buch_Key]],Table_textAnnotations[[#This Row],[Anno_Key]],IF(ISBLANK(Table_textAnnotations[[#This Row],[Anno_Page_manuell]]),Table_textAnnotations[[#This Row],[Anno_Page_Auto]],Table_textAnnotations[[#This Row],[Anno_Page_manuell]]))&amp; ".txt"</f>
        <v>AR84UXVG_APLX2EQY_88.txt</v>
      </c>
    </row>
    <row r="380" spans="1:12" x14ac:dyDescent="0.25">
      <c r="A380" t="s">
        <v>1086</v>
      </c>
      <c r="B380" t="s">
        <v>1087</v>
      </c>
      <c r="C380">
        <v>2009</v>
      </c>
      <c r="D380" t="s">
        <v>1088</v>
      </c>
      <c r="E380" t="s">
        <v>1089</v>
      </c>
      <c r="G380" t="s">
        <v>1090</v>
      </c>
      <c r="H380" s="1" t="str">
        <f>_xlfn.TEXTJOIN(CHAR(10),FALSE, _xlfn.TEXTSPLIT(Table_textAnnotations[[#This Row],[Anno_Text]], "ABSATZ"))</f>
        <v>Die Clitoris (= Kitzler) liegt am oberen Ende der  kleinen Schamlippen und wird vom Praeputium clitoridis, einer kleinen Hautfalte bedeckt.</v>
      </c>
      <c r="I380" s="1" t="s">
        <v>1090</v>
      </c>
      <c r="J380" s="2" t="b">
        <v>1</v>
      </c>
      <c r="L380" t="str">
        <f>_xlfn.TEXTJOIN("_",TRUE,Table_textAnnotations[[#This Row],[Buch_Key]],Table_textAnnotations[[#This Row],[Anno_Key]],IF(ISBLANK(Table_textAnnotations[[#This Row],[Anno_Page_manuell]]),Table_textAnnotations[[#This Row],[Anno_Page_Auto]],Table_textAnnotations[[#This Row],[Anno_Page_manuell]]))&amp; ".txt"</f>
        <v>BEE9M7IM_JFKVZRJI_29.txt</v>
      </c>
    </row>
    <row r="381" spans="1:12" ht="150" x14ac:dyDescent="0.25">
      <c r="A381" t="s">
        <v>1091</v>
      </c>
      <c r="B381" t="s">
        <v>1092</v>
      </c>
      <c r="C381">
        <v>2010</v>
      </c>
      <c r="D381" t="s">
        <v>1093</v>
      </c>
      <c r="E381" t="s">
        <v>42</v>
      </c>
      <c r="F381">
        <v>105</v>
      </c>
      <c r="G381" t="s">
        <v>1094</v>
      </c>
      <c r="H381" s="1" t="str">
        <f>_xlfn.TEXTJOIN(CHAR(10),FALSE, _xlfn.TEXTSPLIT(Table_textAnnotations[[#This Row],[Anno_Text]], "ABSATZ"))</f>
        <v>Bei Mädchen wird die rituelle bzw. kulturell motivierte Genitalverstümmelung in unterschiedlichen Formen durchgeführt. Die Klassifikation der WHO unterscheidet 4 Formen:
Sunna: Exzision der Klitorisvorhaut mit der ganzen oder einem Teil der Klitoris 
Exzision: Klitoridektomie, die Klitoris wird vollständig entfernt, die kleinen Labien teilweise oder vollständig, die Vaginalöffnung wird nicht verschlossen 
Infibulation oder pharaonische bzw. sudanesische Genitalverstümmelung: Klitoris und Labia minora werden vollständig entfernt, die Labia majora teilweise durch Abtrennung der inneren Seiten der großen Labien, evtl. auch eines Teils des Venushügels. Die verbleibenden Hautanteile werden zusammengenäht, so dass beim Zusammenwachsen eine Brücke aus Narbengewebe über der vaginalen Öffnung bleibt, eine sehr kleine Öffnung (bis erbsgroß) für Menstruationsblut und Urin wird belassen 
Diverse nicht klassifizierbare Praktiken: z.B. Punktion, Piercing, Einschnitt und Einriss der Klitoris.</v>
      </c>
      <c r="I381" s="1" t="s">
        <v>1345</v>
      </c>
      <c r="J381" s="2" t="b">
        <v>0</v>
      </c>
      <c r="L381" t="str">
        <f>_xlfn.TEXTJOIN("_",TRUE,Table_textAnnotations[[#This Row],[Buch_Key]],Table_textAnnotations[[#This Row],[Anno_Key]],IF(ISBLANK(Table_textAnnotations[[#This Row],[Anno_Page_manuell]]),Table_textAnnotations[[#This Row],[Anno_Page_Auto]],Table_textAnnotations[[#This Row],[Anno_Page_manuell]]))&amp; ".txt"</f>
        <v>QSC464IZ_HUNXPZ9C_105.txt</v>
      </c>
    </row>
    <row r="382" spans="1:12" x14ac:dyDescent="0.25">
      <c r="A382" t="s">
        <v>1091</v>
      </c>
      <c r="B382" t="s">
        <v>1092</v>
      </c>
      <c r="C382">
        <v>2010</v>
      </c>
      <c r="D382" t="s">
        <v>1095</v>
      </c>
      <c r="E382" t="s">
        <v>42</v>
      </c>
      <c r="F382">
        <v>105</v>
      </c>
      <c r="G382" t="s">
        <v>1096</v>
      </c>
      <c r="H382" s="1" t="str">
        <f>_xlfn.TEXTJOIN(CHAR(10),FALSE, _xlfn.TEXTSPLIT(Table_textAnnotations[[#This Row],[Anno_Text]], "ABSATZ"))</f>
        <v>Klitoridektomie und Exzision kommen in ca, 80-85% der  Fälle vor (z.B. im Senegal, Togo, Elfenbeinküste);</v>
      </c>
      <c r="I382" s="1" t="s">
        <v>1096</v>
      </c>
      <c r="J382" s="2" t="b">
        <v>0</v>
      </c>
      <c r="L382" t="str">
        <f>_xlfn.TEXTJOIN("_",TRUE,Table_textAnnotations[[#This Row],[Buch_Key]],Table_textAnnotations[[#This Row],[Anno_Key]],IF(ISBLANK(Table_textAnnotations[[#This Row],[Anno_Page_manuell]]),Table_textAnnotations[[#This Row],[Anno_Page_Auto]],Table_textAnnotations[[#This Row],[Anno_Page_manuell]]))&amp; ".txt"</f>
        <v>QSC464IZ_MVZXIJ7P_105.txt</v>
      </c>
    </row>
    <row r="383" spans="1:12" ht="45" x14ac:dyDescent="0.25">
      <c r="A383" t="s">
        <v>1091</v>
      </c>
      <c r="B383" t="s">
        <v>1092</v>
      </c>
      <c r="C383">
        <v>2010</v>
      </c>
      <c r="D383" t="s">
        <v>1097</v>
      </c>
      <c r="E383" t="s">
        <v>536</v>
      </c>
      <c r="F383">
        <v>108</v>
      </c>
      <c r="G383" t="s">
        <v>1098</v>
      </c>
      <c r="H383" s="1" t="str">
        <f>_xlfn.TEXTJOIN(CHAR(10),FALSE, _xlfn.TEXTSPLIT(Table_textAnnotations[[#This Row],[Anno_Text]], "ABSATZ"))</f>
        <v>In den westlichen Ländern gibt es nur wenige Urteile, die sich mit der weiblichen Genitalverstümmelung befassen. Im US-Bundesstaat Georgia entfernte ein 30-jähriger Einwanderer aus Äthiopien  seiner 2-jährigen Tochter die Klitoris mit einer  Schere. Die Geschworenen befanden den Mann  der schweren Körperverletzung und Misshandlung  schuldig, das Gericht verhängte eine Freiheitsstrafe  von 10 Jahren.</v>
      </c>
      <c r="I383" s="1" t="s">
        <v>1098</v>
      </c>
      <c r="J383" s="2" t="b">
        <v>0</v>
      </c>
      <c r="L383" t="str">
        <f>_xlfn.TEXTJOIN("_",TRUE,Table_textAnnotations[[#This Row],[Buch_Key]],Table_textAnnotations[[#This Row],[Anno_Key]],IF(ISBLANK(Table_textAnnotations[[#This Row],[Anno_Page_manuell]]),Table_textAnnotations[[#This Row],[Anno_Page_Auto]],Table_textAnnotations[[#This Row],[Anno_Page_manuell]]))&amp; ".txt"</f>
        <v>QSC464IZ_QEHH4N2E_108.txt</v>
      </c>
    </row>
    <row r="384" spans="1:12" ht="45" x14ac:dyDescent="0.25">
      <c r="A384" t="s">
        <v>1091</v>
      </c>
      <c r="B384" t="s">
        <v>1092</v>
      </c>
      <c r="C384">
        <v>2010</v>
      </c>
      <c r="D384" t="s">
        <v>1099</v>
      </c>
      <c r="E384" t="s">
        <v>536</v>
      </c>
      <c r="F384">
        <v>108</v>
      </c>
      <c r="G384" t="s">
        <v>1100</v>
      </c>
      <c r="H384" s="1" t="str">
        <f>_xlfn.TEXTJOIN(CHAR(10),FALSE, _xlfn.TEXTSPLIT(Table_textAnnotations[[#This Row],[Anno_Text]], "ABSATZ"))</f>
        <v>Die  Qualifikation als »schwere Körperverletzung&lt;&lt; im  Sinne des § 226 Abs.2 StGB ist nur erfüllt, wenn  ein »&gt;wichtiges Glied«&lt; verstümmelt wurde. Wird  die Klitoris - wie derzeit unverständlicherweise in  der Rechtssprechung praktiziert - nicht unter diesen Begriff subsumiert, dann liegt juristisch keine schwere Körperverletzung vor (!).</v>
      </c>
      <c r="I384" s="1" t="s">
        <v>1100</v>
      </c>
      <c r="J384" s="2" t="b">
        <v>0</v>
      </c>
      <c r="L384" t="str">
        <f>_xlfn.TEXTJOIN("_",TRUE,Table_textAnnotations[[#This Row],[Buch_Key]],Table_textAnnotations[[#This Row],[Anno_Key]],IF(ISBLANK(Table_textAnnotations[[#This Row],[Anno_Page_manuell]]),Table_textAnnotations[[#This Row],[Anno_Page_Auto]],Table_textAnnotations[[#This Row],[Anno_Page_manuell]]))&amp; ".txt"</f>
        <v>QSC464IZ_356RSEVP_108.txt</v>
      </c>
    </row>
    <row r="385" spans="1:12" ht="30" x14ac:dyDescent="0.25">
      <c r="A385" t="s">
        <v>1091</v>
      </c>
      <c r="B385" t="s">
        <v>1092</v>
      </c>
      <c r="C385">
        <v>2010</v>
      </c>
      <c r="D385" t="s">
        <v>1101</v>
      </c>
      <c r="E385" t="s">
        <v>51</v>
      </c>
      <c r="F385">
        <v>137</v>
      </c>
      <c r="G385" t="s">
        <v>1102</v>
      </c>
      <c r="H385" s="1" t="str">
        <f>_xlfn.TEXTJOIN(CHAR(10),FALSE, _xlfn.TEXTSPLIT(Table_textAnnotations[[#This Row],[Anno_Text]], "ABSATZ"))</f>
        <v>Masturbation bei präpubertären Mädchen erfolgt in  der Regel klitoral und verursacht keine Verletzung  des Hymens, insbesondere, weil das präpubertäre Hymen gut innerviert und damit äußerst schmerzanfällig ist.</v>
      </c>
      <c r="I385" s="1" t="s">
        <v>1102</v>
      </c>
      <c r="J385" s="2" t="b">
        <v>0</v>
      </c>
      <c r="L385" t="str">
        <f>_xlfn.TEXTJOIN("_",TRUE,Table_textAnnotations[[#This Row],[Buch_Key]],Table_textAnnotations[[#This Row],[Anno_Key]],IF(ISBLANK(Table_textAnnotations[[#This Row],[Anno_Page_manuell]]),Table_textAnnotations[[#This Row],[Anno_Page_Auto]],Table_textAnnotations[[#This Row],[Anno_Page_manuell]]))&amp; ".txt"</f>
        <v>QSC464IZ_HC7KMAYQ_137.txt</v>
      </c>
    </row>
    <row r="386" spans="1:12" ht="60" x14ac:dyDescent="0.25">
      <c r="A386" t="s">
        <v>1091</v>
      </c>
      <c r="B386" t="s">
        <v>1092</v>
      </c>
      <c r="C386">
        <v>2010</v>
      </c>
      <c r="D386" t="s">
        <v>1103</v>
      </c>
      <c r="E386" t="s">
        <v>356</v>
      </c>
      <c r="F386">
        <v>144</v>
      </c>
      <c r="G386" t="s">
        <v>1104</v>
      </c>
      <c r="H386" s="1" t="str">
        <f>_xlfn.TEXTJOIN(CHAR(10),FALSE, _xlfn.TEXTSPLIT(Table_textAnnotations[[#This Row],[Anno_Text]], "ABSATZ"))</f>
        <v>Die Mehrzahl der Studien zum sexuellen Missbrauch von Kindern beschreiben Befunde des  weiblichen Genitales. Leichtere Verletzungen  werden häufig durch genitale Manipulationen oder Reiben des Penis zwischen den Schamlippen (ohne Penetration des Introitus) verursacht.  Dies führt meist zu unspezifischen Befunden wie Erythemen oder oberflächlichen Abrasionen der  inneren Anteile der Labia minora, des periurethralen Bereichs, des Vestibulums oder der Klitoris.  Diese Befunde heilen innerhalb weniger Tage ad  integrum.</v>
      </c>
      <c r="I386" s="1" t="s">
        <v>1104</v>
      </c>
      <c r="J386" s="2" t="b">
        <v>0</v>
      </c>
      <c r="L386" t="str">
        <f>_xlfn.TEXTJOIN("_",TRUE,Table_textAnnotations[[#This Row],[Buch_Key]],Table_textAnnotations[[#This Row],[Anno_Key]],IF(ISBLANK(Table_textAnnotations[[#This Row],[Anno_Page_manuell]]),Table_textAnnotations[[#This Row],[Anno_Page_Auto]],Table_textAnnotations[[#This Row],[Anno_Page_manuell]]))&amp; ".txt"</f>
        <v>QSC464IZ_FXBHCX2K_144.txt</v>
      </c>
    </row>
    <row r="387" spans="1:12" ht="75" x14ac:dyDescent="0.25">
      <c r="A387" t="s">
        <v>1091</v>
      </c>
      <c r="B387" t="s">
        <v>1092</v>
      </c>
      <c r="C387">
        <v>2010</v>
      </c>
      <c r="D387" t="s">
        <v>1105</v>
      </c>
      <c r="E387" t="s">
        <v>718</v>
      </c>
      <c r="F387">
        <v>169</v>
      </c>
      <c r="G387" t="s">
        <v>1106</v>
      </c>
      <c r="H387" s="1" t="str">
        <f>_xlfn.TEXTJOIN(CHAR(10),FALSE, _xlfn.TEXTSPLIT(Table_textAnnotations[[#This Row],[Anno_Text]], "ABSATZ"))</f>
        <v>Die meisten Unfälle resultieren, wenn Kinder rittlings auf Gegenständen sitzen und dann abrutschend auf harte Objekte wie einen Fahrradholm oder ein Möbelteil  mit dem Genitalbereich aufprallen. Üblicherweise führt dies zu einer Prellung der äußeren genitalen Strukturen, die zwischen dem einwirkenden  Objekt und den darunter liegenden Knochen gequetscht werden. Die Verletzungen betreffen die  Labia majora und minora und die Klitoris und  selten die tiefer und geschützt liegenden Strukturen wie das Hymen und die »posterior fourchette&lt;&lt;  (Abb. 11.1 und 11.2).</v>
      </c>
      <c r="I387" s="1" t="s">
        <v>1106</v>
      </c>
      <c r="J387" s="2" t="b">
        <v>0</v>
      </c>
      <c r="L387" t="str">
        <f>_xlfn.TEXTJOIN("_",TRUE,Table_textAnnotations[[#This Row],[Buch_Key]],Table_textAnnotations[[#This Row],[Anno_Key]],IF(ISBLANK(Table_textAnnotations[[#This Row],[Anno_Page_manuell]]),Table_textAnnotations[[#This Row],[Anno_Page_Auto]],Table_textAnnotations[[#This Row],[Anno_Page_manuell]]))&amp; ".txt"</f>
        <v>QSC464IZ_VIDKR3YJ_169.txt</v>
      </c>
    </row>
    <row r="388" spans="1:12" ht="30" x14ac:dyDescent="0.25">
      <c r="A388" t="s">
        <v>1107</v>
      </c>
      <c r="B388" t="s">
        <v>1108</v>
      </c>
      <c r="C388">
        <v>2011</v>
      </c>
      <c r="D388" t="s">
        <v>1109</v>
      </c>
      <c r="E388" t="s">
        <v>953</v>
      </c>
      <c r="G388" t="s">
        <v>1110</v>
      </c>
      <c r="H388" s="1" t="str">
        <f>_xlfn.TEXTJOIN(CHAR(10),FALSE, _xlfn.TEXTSPLIT(Table_textAnnotations[[#This Row],[Anno_Text]], "ABSATZ"))</f>
        <v>Für weitere Sexualfunktionen (Erregung und Orgasmus) ist die Klitoris (Kitzler) mit den ihr angeschlossenen Schwellkörpern, die den Penisschwellkörpern des Mannes ähneln bzw. entsprechen,wichtig.</v>
      </c>
      <c r="I388" s="1" t="s">
        <v>1110</v>
      </c>
      <c r="J388" s="2" t="b">
        <v>1</v>
      </c>
      <c r="L388" t="str">
        <f>_xlfn.TEXTJOIN("_",TRUE,Table_textAnnotations[[#This Row],[Buch_Key]],Table_textAnnotations[[#This Row],[Anno_Key]],IF(ISBLANK(Table_textAnnotations[[#This Row],[Anno_Page_manuell]]),Table_textAnnotations[[#This Row],[Anno_Page_Auto]],Table_textAnnotations[[#This Row],[Anno_Page_manuell]]))&amp; ".txt"</f>
        <v>PIV7MMQG_LJAL93NR_194.txt</v>
      </c>
    </row>
    <row r="389" spans="1:12" x14ac:dyDescent="0.25">
      <c r="A389" t="s">
        <v>1107</v>
      </c>
      <c r="B389" t="s">
        <v>1108</v>
      </c>
      <c r="C389">
        <v>2011</v>
      </c>
      <c r="D389" t="s">
        <v>1111</v>
      </c>
      <c r="E389" t="s">
        <v>1112</v>
      </c>
      <c r="G389" t="s">
        <v>1113</v>
      </c>
      <c r="H389" s="1" t="str">
        <f>_xlfn.TEXTJOIN(CHAR(10),FALSE, _xlfn.TEXTSPLIT(Table_textAnnotations[[#This Row],[Anno_Text]], "ABSATZ"))</f>
        <v>Der Vaginaleingang liegt in der Vulva dorsal von  Klitoris und Urethralöffnung.</v>
      </c>
      <c r="I389" s="1" t="s">
        <v>1113</v>
      </c>
      <c r="J389" s="2" t="b">
        <v>1</v>
      </c>
      <c r="L389" t="str">
        <f>_xlfn.TEXTJOIN("_",TRUE,Table_textAnnotations[[#This Row],[Buch_Key]],Table_textAnnotations[[#This Row],[Anno_Key]],IF(ISBLANK(Table_textAnnotations[[#This Row],[Anno_Page_manuell]]),Table_textAnnotations[[#This Row],[Anno_Page_Auto]],Table_textAnnotations[[#This Row],[Anno_Page_manuell]]))&amp; ".txt"</f>
        <v>PIV7MMQG_S87BRTM8_195.txt</v>
      </c>
    </row>
    <row r="390" spans="1:12" ht="60" x14ac:dyDescent="0.25">
      <c r="A390" t="s">
        <v>1114</v>
      </c>
      <c r="B390" t="s">
        <v>1115</v>
      </c>
      <c r="C390">
        <v>2012</v>
      </c>
      <c r="D390" t="s">
        <v>1116</v>
      </c>
      <c r="E390" t="s">
        <v>1117</v>
      </c>
      <c r="F390">
        <v>12</v>
      </c>
      <c r="G390" t="s">
        <v>1118</v>
      </c>
      <c r="H390" s="1" t="str">
        <f>_xlfn.TEXTJOIN(CHAR(10),FALSE, _xlfn.TEXTSPLIT(Table_textAnnotations[[#This Row],[Anno_Text]], "ABSATZ"))</f>
        <v>Der Begriff Vulva umfasst  alle äußerlich sichtbaren Teile der Geschlechtsregion, also:  ◉ den Schamhügel,  ◉ den gesamten mit Schamhaaren bedeckten Bereich,  ☐ die beiden äußeren, sogenannten großen Schamlippen,  die beiden inneren, sogenannten kleinen Schamlippen,  ■den Kitzler, auch Klitoris genannt,  ■den Scheidenvorhof, auch Vestibulum genannt,  ■die Drüsen des Scheidenvorhofs,  ☐ den Scheideneingang mit dem Jungfernhäutchen und  ☐ den Damm.</v>
      </c>
      <c r="I390" s="1" t="s">
        <v>1413</v>
      </c>
      <c r="J390" s="2" t="b">
        <v>1</v>
      </c>
      <c r="L390" t="str">
        <f>_xlfn.TEXTJOIN("_",TRUE,Table_textAnnotations[[#This Row],[Buch_Key]],Table_textAnnotations[[#This Row],[Anno_Key]],IF(ISBLANK(Table_textAnnotations[[#This Row],[Anno_Page_manuell]]),Table_textAnnotations[[#This Row],[Anno_Page_Auto]],Table_textAnnotations[[#This Row],[Anno_Page_manuell]]))&amp; ".txt"</f>
        <v>UI42VMAF_CWUGEBGG_12.txt</v>
      </c>
    </row>
    <row r="391" spans="1:12" ht="30" x14ac:dyDescent="0.25">
      <c r="A391" t="s">
        <v>1114</v>
      </c>
      <c r="B391" t="s">
        <v>1115</v>
      </c>
      <c r="C391">
        <v>2012</v>
      </c>
      <c r="D391" t="s">
        <v>1119</v>
      </c>
      <c r="E391" t="s">
        <v>1117</v>
      </c>
      <c r="F391">
        <v>12</v>
      </c>
      <c r="G391" t="s">
        <v>1120</v>
      </c>
      <c r="H391" s="1" t="str">
        <f>_xlfn.TEXTJOIN(CHAR(10),FALSE, _xlfn.TEXTSPLIT(Table_textAnnotations[[#This Row],[Anno_Text]], "ABSATZ"))</f>
        <v>Die inneren Schamlippen teilen sich an ihrem Ansatz und bilden das sogenannte Frenulum und als Schutz  für den Kitzler eine kleine,,Haube“, das sogenannte Praeputium.</v>
      </c>
      <c r="I391" s="1" t="s">
        <v>1120</v>
      </c>
      <c r="J391" s="2" t="b">
        <v>1</v>
      </c>
      <c r="L391" t="str">
        <f>_xlfn.TEXTJOIN("_",TRUE,Table_textAnnotations[[#This Row],[Buch_Key]],Table_textAnnotations[[#This Row],[Anno_Key]],IF(ISBLANK(Table_textAnnotations[[#This Row],[Anno_Page_manuell]]),Table_textAnnotations[[#This Row],[Anno_Page_Auto]],Table_textAnnotations[[#This Row],[Anno_Page_manuell]]))&amp; ".txt"</f>
        <v>UI42VMAF_WDKYGG27_12.txt</v>
      </c>
    </row>
    <row r="392" spans="1:12" x14ac:dyDescent="0.25">
      <c r="A392" t="s">
        <v>1114</v>
      </c>
      <c r="B392" t="s">
        <v>1115</v>
      </c>
      <c r="C392">
        <v>2012</v>
      </c>
      <c r="D392" t="s">
        <v>1121</v>
      </c>
      <c r="E392" t="s">
        <v>539</v>
      </c>
      <c r="G392" t="s">
        <v>1122</v>
      </c>
      <c r="H392" s="1" t="str">
        <f>_xlfn.TEXTJOIN(CHAR(10),FALSE, _xlfn.TEXTSPLIT(Table_textAnnotations[[#This Row],[Anno_Text]], "ABSATZ"))</f>
        <v>Der Kitzler und die Blutgefäße der Vulva, die sich bei sexueller Erregung stark mit Blut füllen, sind hauptverantwortlich für einen Orgasmus.</v>
      </c>
      <c r="I392" s="1" t="s">
        <v>1122</v>
      </c>
      <c r="J392" s="2" t="b">
        <v>1</v>
      </c>
      <c r="L392" t="str">
        <f>_xlfn.TEXTJOIN("_",TRUE,Table_textAnnotations[[#This Row],[Buch_Key]],Table_textAnnotations[[#This Row],[Anno_Key]],IF(ISBLANK(Table_textAnnotations[[#This Row],[Anno_Page_manuell]]),Table_textAnnotations[[#This Row],[Anno_Page_Auto]],Table_textAnnotations[[#This Row],[Anno_Page_manuell]]))&amp; ".txt"</f>
        <v>UI42VMAF_YJWIUJSC_13.txt</v>
      </c>
    </row>
    <row r="393" spans="1:12" ht="30" x14ac:dyDescent="0.25">
      <c r="A393" t="s">
        <v>1114</v>
      </c>
      <c r="B393" t="s">
        <v>1115</v>
      </c>
      <c r="C393">
        <v>2012</v>
      </c>
      <c r="D393" t="s">
        <v>1123</v>
      </c>
      <c r="E393" t="s">
        <v>691</v>
      </c>
      <c r="G393" t="s">
        <v>1124</v>
      </c>
      <c r="H393" s="1" t="str">
        <f>_xlfn.TEXTJOIN(CHAR(10),FALSE, _xlfn.TEXTSPLIT(Table_textAnnotations[[#This Row],[Anno_Text]], "ABSATZ"))</f>
        <v>Die Hauptfunktion der inneren Schamlippen ist eine sexuelle, da sie sich bei sexueller  Erregung stark mit Blut füllen. Sie umschließen den Penis beim Geschlechtsverkehr,  sodass der Kitzler näher an den Penisschaft gelangt und die Erregung erhöht wird.</v>
      </c>
      <c r="I393" s="1" t="s">
        <v>1124</v>
      </c>
      <c r="J393" s="2" t="b">
        <v>1</v>
      </c>
      <c r="L393" t="str">
        <f>_xlfn.TEXTJOIN("_",TRUE,Table_textAnnotations[[#This Row],[Buch_Key]],Table_textAnnotations[[#This Row],[Anno_Key]],IF(ISBLANK(Table_textAnnotations[[#This Row],[Anno_Page_manuell]]),Table_textAnnotations[[#This Row],[Anno_Page_Auto]],Table_textAnnotations[[#This Row],[Anno_Page_manuell]]))&amp; ".txt"</f>
        <v>UI42VMAF_X36IR563_14.txt</v>
      </c>
    </row>
    <row r="394" spans="1:12" ht="60" x14ac:dyDescent="0.25">
      <c r="A394" t="s">
        <v>1114</v>
      </c>
      <c r="B394" t="s">
        <v>1115</v>
      </c>
      <c r="C394">
        <v>2012</v>
      </c>
      <c r="D394" t="s">
        <v>1125</v>
      </c>
      <c r="E394" t="s">
        <v>691</v>
      </c>
      <c r="G394" t="s">
        <v>1126</v>
      </c>
      <c r="H394" s="1" t="str">
        <f>_xlfn.TEXTJOIN(CHAR(10),FALSE, _xlfn.TEXTSPLIT(Table_textAnnotations[[#This Row],[Anno_Text]], "ABSATZ"))</f>
        <v>Vor dem Kitzler teilen sich die inneren Schamlippen in zwei Schenkel. Die beiden  unteren Teile vereinigen sich zum sogenannten Frenulum, einem Bändchen, das – wie  das Bändchen unter der Zungenspitze – teilweise angeheftet und teilweise beweglich  ist. Die beiden oberen Teile (es können auch jeweils zwei Hautfalten sein) bilden  zusammen eine Art Haube für den Kitzler, das sogenannte Praeputium, zu deutsch  ,,Vorhaut".</v>
      </c>
      <c r="I394" s="1" t="s">
        <v>1414</v>
      </c>
      <c r="J394" s="2" t="b">
        <v>1</v>
      </c>
      <c r="L394" t="str">
        <f>_xlfn.TEXTJOIN("_",TRUE,Table_textAnnotations[[#This Row],[Buch_Key]],Table_textAnnotations[[#This Row],[Anno_Key]],IF(ISBLANK(Table_textAnnotations[[#This Row],[Anno_Page_manuell]]),Table_textAnnotations[[#This Row],[Anno_Page_Auto]],Table_textAnnotations[[#This Row],[Anno_Page_manuell]]))&amp; ".txt"</f>
        <v>UI42VMAF_GQ69LZUI_14.txt</v>
      </c>
    </row>
    <row r="395" spans="1:12" x14ac:dyDescent="0.25">
      <c r="A395" t="s">
        <v>1114</v>
      </c>
      <c r="B395" t="s">
        <v>1115</v>
      </c>
      <c r="C395">
        <v>2012</v>
      </c>
      <c r="D395" t="s">
        <v>1127</v>
      </c>
      <c r="E395" t="s">
        <v>1128</v>
      </c>
      <c r="G395" t="s">
        <v>1129</v>
      </c>
      <c r="H395" s="1" t="str">
        <f>_xlfn.TEXTJOIN(CHAR(10),FALSE, _xlfn.TEXTSPLIT(Table_textAnnotations[[#This Row],[Anno_Text]], "ABSATZ"))</f>
        <v>Die Größe der Klitoris kann ebenfalls variieren, was jedoch keinerlei Einfluss  auf das sexuelle Empfinden hat.</v>
      </c>
      <c r="I395" s="1" t="s">
        <v>1129</v>
      </c>
      <c r="J395" s="2" t="b">
        <v>1</v>
      </c>
      <c r="L395" t="str">
        <f>_xlfn.TEXTJOIN("_",TRUE,Table_textAnnotations[[#This Row],[Buch_Key]],Table_textAnnotations[[#This Row],[Anno_Key]],IF(ISBLANK(Table_textAnnotations[[#This Row],[Anno_Page_manuell]]),Table_textAnnotations[[#This Row],[Anno_Page_Auto]],Table_textAnnotations[[#This Row],[Anno_Page_manuell]]))&amp; ".txt"</f>
        <v>UI42VMAF_IJ4HQ5IB_15.txt</v>
      </c>
    </row>
    <row r="396" spans="1:12" x14ac:dyDescent="0.25">
      <c r="A396" t="s">
        <v>1114</v>
      </c>
      <c r="B396" t="s">
        <v>1115</v>
      </c>
      <c r="C396">
        <v>2012</v>
      </c>
      <c r="D396" t="s">
        <v>1130</v>
      </c>
      <c r="E396" t="s">
        <v>1128</v>
      </c>
      <c r="G396" t="s">
        <v>1131</v>
      </c>
      <c r="H396" s="1" t="str">
        <f>_xlfn.TEXTJOIN(CHAR(10),FALSE, _xlfn.TEXTSPLIT(Table_textAnnotations[[#This Row],[Anno_Text]], "ABSATZ"))</f>
        <v>Der Kitzler, lateinisch Klitoris</v>
      </c>
      <c r="I396" s="1" t="s">
        <v>1131</v>
      </c>
      <c r="J396" s="2" t="b">
        <v>0</v>
      </c>
      <c r="L396" t="str">
        <f>_xlfn.TEXTJOIN("_",TRUE,Table_textAnnotations[[#This Row],[Buch_Key]],Table_textAnnotations[[#This Row],[Anno_Key]],IF(ISBLANK(Table_textAnnotations[[#This Row],[Anno_Page_manuell]]),Table_textAnnotations[[#This Row],[Anno_Page_Auto]],Table_textAnnotations[[#This Row],[Anno_Page_manuell]]))&amp; ".txt"</f>
        <v>UI42VMAF_82CBNT3D_15.txt</v>
      </c>
    </row>
    <row r="397" spans="1:12" ht="45" x14ac:dyDescent="0.25">
      <c r="A397" t="s">
        <v>1114</v>
      </c>
      <c r="B397" t="s">
        <v>1115</v>
      </c>
      <c r="C397">
        <v>2012</v>
      </c>
      <c r="D397" t="s">
        <v>1132</v>
      </c>
      <c r="E397" t="s">
        <v>1128</v>
      </c>
      <c r="G397" t="s">
        <v>1133</v>
      </c>
      <c r="H397" s="1" t="str">
        <f>_xlfn.TEXTJOIN(CHAR(10),FALSE, _xlfn.TEXTSPLIT(Table_textAnnotations[[#This Row],[Anno_Text]], "ABSATZ"))</f>
        <v>Der Teil des Kitzlers, der unter der Vorhaut liegt, wird als Glans - also Eichel - bezeichnet und hat in etwa die Größe einer kleinen Erbse. Die Größe dieses Klitoristeils ist unabhängig von Körpergröße oder Gewicht. In der Glans liegen Tausende von Nerven mit  ihren sensiblen Endigungen, die für die sexuellen Empfindungen verantwortlich sind.</v>
      </c>
      <c r="I397" s="1" t="s">
        <v>1133</v>
      </c>
      <c r="J397" s="2" t="b">
        <v>1</v>
      </c>
      <c r="L397" t="str">
        <f>_xlfn.TEXTJOIN("_",TRUE,Table_textAnnotations[[#This Row],[Buch_Key]],Table_textAnnotations[[#This Row],[Anno_Key]],IF(ISBLANK(Table_textAnnotations[[#This Row],[Anno_Page_manuell]]),Table_textAnnotations[[#This Row],[Anno_Page_Auto]],Table_textAnnotations[[#This Row],[Anno_Page_manuell]]))&amp; ".txt"</f>
        <v>UI42VMAF_N574QCBB_15.txt</v>
      </c>
    </row>
    <row r="398" spans="1:12" ht="60" x14ac:dyDescent="0.25">
      <c r="A398" t="s">
        <v>1114</v>
      </c>
      <c r="B398" t="s">
        <v>1115</v>
      </c>
      <c r="C398">
        <v>2012</v>
      </c>
      <c r="D398" t="s">
        <v>1134</v>
      </c>
      <c r="E398" t="s">
        <v>1128</v>
      </c>
      <c r="G398" t="s">
        <v>1135</v>
      </c>
      <c r="H398" s="1" t="str">
        <f>_xlfn.TEXTJOIN(CHAR(10),FALSE, _xlfn.TEXTSPLIT(Table_textAnnotations[[#This Row],[Anno_Text]], "ABSATZ"))</f>
        <v>Die direkte Stimulation wird von vielen Frauen eher als schmerzhaft oder unangenehm  empfunden, sie ziehen die indirekte Stimulation über die Vorhaut oder den Schamberg  vor. Der Nerv, dessen Endäste die Klitoris versorgen, ist der sogenannte Pudendusnerv  (siehe ab Seite 104). Er versorgt nicht nur die Klitoris, sondern die gesamte Vulva,  den Damm und den Bereich um den After mit sensiblen Nervenfasern und ist daher für  die sexuellen Empfindungen in all diesen Bereichen verantwortlich.</v>
      </c>
      <c r="I398" s="1" t="s">
        <v>1135</v>
      </c>
      <c r="J398" s="2" t="b">
        <v>1</v>
      </c>
      <c r="L398" t="str">
        <f>_xlfn.TEXTJOIN("_",TRUE,Table_textAnnotations[[#This Row],[Buch_Key]],Table_textAnnotations[[#This Row],[Anno_Key]],IF(ISBLANK(Table_textAnnotations[[#This Row],[Anno_Page_manuell]]),Table_textAnnotations[[#This Row],[Anno_Page_Auto]],Table_textAnnotations[[#This Row],[Anno_Page_manuell]]))&amp; ".txt"</f>
        <v>UI42VMAF_4YWX29NK_15.txt</v>
      </c>
    </row>
    <row r="399" spans="1:12" ht="75" x14ac:dyDescent="0.25">
      <c r="A399" t="s">
        <v>1114</v>
      </c>
      <c r="B399" t="s">
        <v>1115</v>
      </c>
      <c r="C399">
        <v>2012</v>
      </c>
      <c r="D399" t="s">
        <v>1136</v>
      </c>
      <c r="E399" t="s">
        <v>1128</v>
      </c>
      <c r="G399" t="s">
        <v>1137</v>
      </c>
      <c r="H399" s="1" t="str">
        <f>_xlfn.TEXTJOIN(CHAR(10),FALSE, _xlfn.TEXTSPLIT(Table_textAnnotations[[#This Row],[Anno_Text]], "ABSATZ"))</f>
        <v>Ein anderer Teil der Klitoris, der 3 bis 4 cm lange Schaft, liegt nicht sichtbar unter der  Haut und der Muskulatur der Vulva. Er verfügt nicht über so viele Nerven, dagegen  über eine sehr gute Versorgung mit Blutgefäßen, die bei sexueller Erregung die Klitoris anschwellen lassen und die Glans nach vorne drücken. Im Gegensatz zum Penis  kommt es aber nicht zu einer Versteifung oder einem Aufrichten der Klitoris. Je nach  Erregung kommt es zum Zu- und Abfließen des Blutes, wodurch - im Gegensatz zum  Mann mehrere Orgasmen hintereinander möglich sind.</v>
      </c>
      <c r="I399" s="1" t="s">
        <v>1137</v>
      </c>
      <c r="J399" s="2" t="b">
        <v>1</v>
      </c>
      <c r="L399" t="str">
        <f>_xlfn.TEXTJOIN("_",TRUE,Table_textAnnotations[[#This Row],[Buch_Key]],Table_textAnnotations[[#This Row],[Anno_Key]],IF(ISBLANK(Table_textAnnotations[[#This Row],[Anno_Page_manuell]]),Table_textAnnotations[[#This Row],[Anno_Page_Auto]],Table_textAnnotations[[#This Row],[Anno_Page_manuell]]))&amp; ".txt"</f>
        <v>UI42VMAF_VRTUSAUF_15.txt</v>
      </c>
    </row>
    <row r="400" spans="1:12" ht="45" x14ac:dyDescent="0.25">
      <c r="A400" t="s">
        <v>1114</v>
      </c>
      <c r="B400" t="s">
        <v>1115</v>
      </c>
      <c r="C400">
        <v>2012</v>
      </c>
      <c r="D400" t="s">
        <v>1138</v>
      </c>
      <c r="E400" t="s">
        <v>696</v>
      </c>
      <c r="G400" t="s">
        <v>1139</v>
      </c>
      <c r="H400" s="1" t="str">
        <f>_xlfn.TEXTJOIN(CHAR(10),FALSE, _xlfn.TEXTSPLIT(Table_textAnnotations[[#This Row],[Anno_Text]], "ABSATZ"))</f>
        <v>Der Schaft teilt sich in die beiden etwa 5 bis 9 cm langen Klitorisschenkel auf, die  neben den Blutgefäßen und unter den Muskeln des Vestibulums verlaufen. Schaft und  Schenkel der Klitoris stehen in Verbindung mit dem Schambeinknochen. Die Funktion  der Klitoris besteht ausschließlich darin, sexuelle Lust zu empfinden und zu vermitteln.</v>
      </c>
      <c r="I400" s="1" t="s">
        <v>1139</v>
      </c>
      <c r="J400" s="2" t="b">
        <v>1</v>
      </c>
      <c r="L400" t="str">
        <f>_xlfn.TEXTJOIN("_",TRUE,Table_textAnnotations[[#This Row],[Buch_Key]],Table_textAnnotations[[#This Row],[Anno_Key]],IF(ISBLANK(Table_textAnnotations[[#This Row],[Anno_Page_manuell]]),Table_textAnnotations[[#This Row],[Anno_Page_Auto]],Table_textAnnotations[[#This Row],[Anno_Page_manuell]]))&amp; ".txt"</f>
        <v>UI42VMAF_H8SY8M2L_16.txt</v>
      </c>
    </row>
    <row r="401" spans="1:12" ht="45" x14ac:dyDescent="0.25">
      <c r="A401" t="s">
        <v>1114</v>
      </c>
      <c r="B401" t="s">
        <v>1115</v>
      </c>
      <c r="C401">
        <v>2012</v>
      </c>
      <c r="D401" t="s">
        <v>1140</v>
      </c>
      <c r="E401" t="s">
        <v>353</v>
      </c>
      <c r="F401">
        <v>64</v>
      </c>
      <c r="G401" t="s">
        <v>1141</v>
      </c>
      <c r="H401" s="1" t="str">
        <f>_xlfn.TEXTJOIN(CHAR(10),FALSE, _xlfn.TEXTSPLIT(Table_textAnnotations[[#This Row],[Anno_Text]], "ABSATZ"))</f>
        <v>[Kontext: Genitalherpes]
Am häufigsten betroffen sind große und kleine Schamlippen, Klitoris, Damm und die Gegend um den After.</v>
      </c>
      <c r="I401" s="1" t="s">
        <v>1389</v>
      </c>
      <c r="J401" s="2" t="b">
        <v>0</v>
      </c>
      <c r="L401" t="str">
        <f>_xlfn.TEXTJOIN("_",TRUE,Table_textAnnotations[[#This Row],[Buch_Key]],Table_textAnnotations[[#This Row],[Anno_Key]],IF(ISBLANK(Table_textAnnotations[[#This Row],[Anno_Page_manuell]]),Table_textAnnotations[[#This Row],[Anno_Page_Auto]],Table_textAnnotations[[#This Row],[Anno_Page_manuell]]))&amp; ".txt"</f>
        <v>UI42VMAF_TH4EZFHW_64.txt</v>
      </c>
    </row>
    <row r="402" spans="1:12" ht="45" x14ac:dyDescent="0.25">
      <c r="A402" t="s">
        <v>1114</v>
      </c>
      <c r="B402" t="s">
        <v>1115</v>
      </c>
      <c r="C402">
        <v>2012</v>
      </c>
      <c r="D402" t="s">
        <v>1142</v>
      </c>
      <c r="E402" t="s">
        <v>566</v>
      </c>
      <c r="F402">
        <v>104</v>
      </c>
      <c r="G402" t="s">
        <v>1143</v>
      </c>
      <c r="H402" s="1" t="str">
        <f>_xlfn.TEXTJOIN(CHAR(10),FALSE, _xlfn.TEXTSPLIT(Table_textAnnotations[[#This Row],[Anno_Text]], "ABSATZ"))</f>
        <v>Der Pudendusnerv ist der „,Hauptnery"  des Beckens. Er entspringt der untersten Region des Rückenmarks im Kreuzbeinbereich und hat drei Äste: den unteren rektalen Ast zum Enddarm und After, den perinealen Ast zum Damm und zur Harnröhre und den klitoralen Ast zur Versorgung der  Klitoris.</v>
      </c>
      <c r="I402" s="1" t="s">
        <v>1435</v>
      </c>
      <c r="J402" s="2" t="b">
        <v>1</v>
      </c>
      <c r="L402" t="str">
        <f>_xlfn.TEXTJOIN("_",TRUE,Table_textAnnotations[[#This Row],[Buch_Key]],Table_textAnnotations[[#This Row],[Anno_Key]],IF(ISBLANK(Table_textAnnotations[[#This Row],[Anno_Page_manuell]]),Table_textAnnotations[[#This Row],[Anno_Page_Auto]],Table_textAnnotations[[#This Row],[Anno_Page_manuell]]))&amp; ".txt"</f>
        <v>UI42VMAF_PTUJ5LT6_104.txt</v>
      </c>
    </row>
    <row r="403" spans="1:12" ht="90" x14ac:dyDescent="0.25">
      <c r="A403" t="s">
        <v>1114</v>
      </c>
      <c r="B403" t="s">
        <v>1115</v>
      </c>
      <c r="C403">
        <v>2012</v>
      </c>
      <c r="D403" t="s">
        <v>1144</v>
      </c>
      <c r="E403" t="s">
        <v>651</v>
      </c>
      <c r="F403">
        <v>122</v>
      </c>
      <c r="G403" t="s">
        <v>1145</v>
      </c>
      <c r="H403" s="1" t="str">
        <f>_xlfn.TEXTJOIN(CHAR(10),FALSE, _xlfn.TEXTSPLIT(Table_textAnnotations[[#This Row],[Anno_Text]], "ABSATZ"))</f>
        <v>Dort [im Alcock-Kanal] teilt sich der Pudendusnerv in verschiedene kleinere Nervenäste auf, die dann wiederum andere Namen haben und meist nach dem Haut- oder Muskelgebiet benannt sind, das sie versorgen. Das sind in diesem Fall: ◉ die rektalen/analen Äste zur Versorgung des Enddarms und des Afterschlieẞmuskels (Nn. rectales inferiores), ☐ die perinealen Äste, die den Damm, die Scheide und die Harnröhre versorgen (Nn. perineales), wobei sich diese perinealen Äste wiederum verzweigen in noch kleinere Äste (Nn. scrotales bzw. labiales), die beim Mann den Hodensack (Scrotum) und bei der Frau die Schamlippen versorgen, ☐ bei Frauen der klitorale Ast, der den Bereich um die Klitoris (den Kitzler) versorgt (Nervus dorsalis clitoridis) bzw. bei Männern den Penis (Nervus dorsalis penis).</v>
      </c>
      <c r="I403" s="1" t="s">
        <v>1415</v>
      </c>
      <c r="J403" s="2" t="b">
        <v>1</v>
      </c>
      <c r="L403" t="str">
        <f>_xlfn.TEXTJOIN("_",TRUE,Table_textAnnotations[[#This Row],[Buch_Key]],Table_textAnnotations[[#This Row],[Anno_Key]],IF(ISBLANK(Table_textAnnotations[[#This Row],[Anno_Page_manuell]]),Table_textAnnotations[[#This Row],[Anno_Page_Auto]],Table_textAnnotations[[#This Row],[Anno_Page_manuell]]))&amp; ".txt"</f>
        <v>UI42VMAF_L8TEJ7K7_122.txt</v>
      </c>
    </row>
    <row r="404" spans="1:12" ht="90" x14ac:dyDescent="0.25">
      <c r="A404" t="s">
        <v>1114</v>
      </c>
      <c r="B404" t="s">
        <v>1115</v>
      </c>
      <c r="C404">
        <v>2012</v>
      </c>
      <c r="D404" t="s">
        <v>1146</v>
      </c>
      <c r="E404" t="s">
        <v>654</v>
      </c>
      <c r="F404">
        <v>123</v>
      </c>
      <c r="G404" t="s">
        <v>1147</v>
      </c>
      <c r="H404" s="1" t="str">
        <f>_xlfn.TEXTJOIN(CHAR(10),FALSE, _xlfn.TEXTSPLIT(Table_textAnnotations[[#This Row],[Anno_Text]], "ABSATZ"))</f>
        <v>[Kontext: Dysästhetische Vulvodynie]
Die hauptsächlichen Symptome sind Schmerzen im Versorgungsgebiet des Pudendusnervs, also im Bereich von Enddarm, After, Harnröhre und Damm sowie bei Frauen im Bereich von Scheide und Vulva (äußerlich sichtbarer Genitalbereich, der den Scheideneingang, kleine und große Schamlippen und den Schamhügel umfasst) einschließlich Kitzler (Klitoris), bei Männern im Bereich von Penis und Hodensack. Es kann auch nur einer dieser Bereiche betroffen sein, so zum Beispiel ausschließlich Schmerzen im Bereich der Klitoris.</v>
      </c>
      <c r="I404" s="1" t="s">
        <v>1390</v>
      </c>
      <c r="J404" s="2" t="b">
        <v>0</v>
      </c>
      <c r="L404" t="str">
        <f>_xlfn.TEXTJOIN("_",TRUE,Table_textAnnotations[[#This Row],[Buch_Key]],Table_textAnnotations[[#This Row],[Anno_Key]],IF(ISBLANK(Table_textAnnotations[[#This Row],[Anno_Page_manuell]]),Table_textAnnotations[[#This Row],[Anno_Page_Auto]],Table_textAnnotations[[#This Row],[Anno_Page_manuell]]))&amp; ".txt"</f>
        <v>UI42VMAF_YFE2AJB5_123.txt</v>
      </c>
    </row>
    <row r="405" spans="1:12" ht="30" x14ac:dyDescent="0.25">
      <c r="A405" t="s">
        <v>1114</v>
      </c>
      <c r="B405" t="s">
        <v>1115</v>
      </c>
      <c r="C405">
        <v>2012</v>
      </c>
      <c r="D405" t="s">
        <v>1148</v>
      </c>
      <c r="E405" t="s">
        <v>496</v>
      </c>
      <c r="F405">
        <v>127</v>
      </c>
      <c r="G405" t="s">
        <v>1149</v>
      </c>
      <c r="H405" s="1" t="str">
        <f>_xlfn.TEXTJOIN(CHAR(10),FALSE, _xlfn.TEXTSPLIT(Table_textAnnotations[[#This Row],[Anno_Text]], "ABSATZ"))</f>
        <v>Wie Sie wissen, erfolgt der wesentliche Teil der Nervenversorgung der Vulva über den Pudendusnerv, der im Bereich des Kreuzbeins den Wirbelkanal verlässt und durch  das Becken mit seinen Ästen zu Enddarm, Damm, Scheide, Vulva, Harnröhre und  Kitzler zieht.</v>
      </c>
      <c r="I405" s="1" t="s">
        <v>1149</v>
      </c>
      <c r="J405" s="2" t="b">
        <v>1</v>
      </c>
      <c r="L405" t="str">
        <f>_xlfn.TEXTJOIN("_",TRUE,Table_textAnnotations[[#This Row],[Buch_Key]],Table_textAnnotations[[#This Row],[Anno_Key]],IF(ISBLANK(Table_textAnnotations[[#This Row],[Anno_Page_manuell]]),Table_textAnnotations[[#This Row],[Anno_Page_Auto]],Table_textAnnotations[[#This Row],[Anno_Page_manuell]]))&amp; ".txt"</f>
        <v>UI42VMAF_SQFBK79H_127.txt</v>
      </c>
    </row>
    <row r="406" spans="1:12" ht="75" x14ac:dyDescent="0.25">
      <c r="A406" t="s">
        <v>1150</v>
      </c>
      <c r="B406" t="s">
        <v>1151</v>
      </c>
      <c r="C406">
        <v>2013</v>
      </c>
      <c r="D406" t="s">
        <v>1152</v>
      </c>
      <c r="E406" t="s">
        <v>1153</v>
      </c>
      <c r="G406" t="s">
        <v>1154</v>
      </c>
      <c r="H406" s="1" t="str">
        <f>_xlfn.TEXTJOIN(CHAR(10),FALSE, _xlfn.TEXTSPLIT(Table_textAnnotations[[#This Row],[Anno_Text]], "ABSATZ"))</f>
        <v>Die exzidierenden Verfahren haben den Vorteil,  dass die histologische Aufarbeitung der gesamten  Läsion erfolgen kann. Insbesondere bei uni- oder  zumindest oligofokalen Läsionen ist die Exzision  deshalb häufig zu bevorzugen, bei der differenzierten VIN sogar unbedingt notwendig. Vor Destruktion der Läsionen und dem Off-label-Versuch einer  medikamentösen Therapie, die sich insbesondere  für multifokale VIN oder schlecht zu resezierende  Lokalisationen (z. B. Praeputium clitoridis) eignen, muss durch häufig multiple Biopsien eine Invasion  ausgeschlossen werden.</v>
      </c>
      <c r="I406" s="1" t="s">
        <v>1154</v>
      </c>
      <c r="J406" s="2" t="b">
        <v>0</v>
      </c>
      <c r="L406" t="str">
        <f>_xlfn.TEXTJOIN("_",TRUE,Table_textAnnotations[[#This Row],[Buch_Key]],Table_textAnnotations[[#This Row],[Anno_Key]],IF(ISBLANK(Table_textAnnotations[[#This Row],[Anno_Page_manuell]]),Table_textAnnotations[[#This Row],[Anno_Page_Auto]],Table_textAnnotations[[#This Row],[Anno_Page_manuell]]))&amp; ".txt"</f>
        <v>DZ76PZZ3_DEUKYBQZ_418.txt</v>
      </c>
    </row>
    <row r="407" spans="1:12" ht="60" x14ac:dyDescent="0.25">
      <c r="A407" t="s">
        <v>1150</v>
      </c>
      <c r="B407" t="s">
        <v>1151</v>
      </c>
      <c r="C407">
        <v>2013</v>
      </c>
      <c r="D407" t="s">
        <v>1155</v>
      </c>
      <c r="E407" t="s">
        <v>1156</v>
      </c>
      <c r="G407" t="s">
        <v>1157</v>
      </c>
      <c r="H407" s="1" t="str">
        <f>_xlfn.TEXTJOIN(CHAR(10),FALSE, _xlfn.TEXTSPLIT(Table_textAnnotations[[#This Row],[Anno_Text]], "ABSATZ"))</f>
        <v>Dies führte zu der Empfehlung eines gesunden Resektionsrandes von 10 mm am nicht fixierten Präparat nach Einbeziehung der formalinbedingten Gewebsretraktion. Allerdings kann bei besonderen Umständen auch ein geringerer Resektionsrand akzeptiert werden, wenn dadurch ein klitoriserhaltendes Vorgehen ermöglicht wird. Es sollte aber in jedem Fall in sano operiert werden und ggf. die Patientin über das erhöhte Lokalrezidivrisiko aufgeklärt werden.</v>
      </c>
      <c r="I407" s="1" t="s">
        <v>1157</v>
      </c>
      <c r="J407" s="2" t="b">
        <v>0</v>
      </c>
      <c r="L407" t="str">
        <f>_xlfn.TEXTJOIN("_",TRUE,Table_textAnnotations[[#This Row],[Buch_Key]],Table_textAnnotations[[#This Row],[Anno_Key]],IF(ISBLANK(Table_textAnnotations[[#This Row],[Anno_Page_manuell]]),Table_textAnnotations[[#This Row],[Anno_Page_Auto]],Table_textAnnotations[[#This Row],[Anno_Page_manuell]]))&amp; ".txt"</f>
        <v>DZ76PZZ3_8D9D3CRM_419.txt</v>
      </c>
    </row>
    <row r="408" spans="1:12" x14ac:dyDescent="0.25">
      <c r="A408" t="s">
        <v>1158</v>
      </c>
      <c r="B408" t="s">
        <v>1087</v>
      </c>
      <c r="C408">
        <v>2014</v>
      </c>
      <c r="D408" t="s">
        <v>1159</v>
      </c>
      <c r="E408" t="s">
        <v>128</v>
      </c>
      <c r="F408">
        <v>40</v>
      </c>
      <c r="G408" t="s">
        <v>1160</v>
      </c>
      <c r="H408" s="1" t="str">
        <f>_xlfn.TEXTJOIN(CHAR(10),FALSE, _xlfn.TEXTSPLIT(Table_textAnnotations[[#This Row],[Anno_Text]], "ABSATZ"))</f>
        <v>Die Clitoris (Kitzler) liegt am oberen  Ende der kleinen Schamlippen und wird vom  Preputium clitoridis (Kitzlervorhaut) bedeckt.</v>
      </c>
      <c r="I408" s="1" t="s">
        <v>1160</v>
      </c>
      <c r="J408" s="2" t="b">
        <v>1</v>
      </c>
      <c r="L408" t="str">
        <f>_xlfn.TEXTJOIN("_",TRUE,Table_textAnnotations[[#This Row],[Buch_Key]],Table_textAnnotations[[#This Row],[Anno_Key]],IF(ISBLANK(Table_textAnnotations[[#This Row],[Anno_Page_manuell]]),Table_textAnnotations[[#This Row],[Anno_Page_Auto]],Table_textAnnotations[[#This Row],[Anno_Page_manuell]]))&amp; ".txt"</f>
        <v>GHJDKRIQ_RNUW37UU_40.txt</v>
      </c>
    </row>
    <row r="409" spans="1:12" ht="45" x14ac:dyDescent="0.25">
      <c r="A409" t="s">
        <v>1161</v>
      </c>
      <c r="B409" t="s">
        <v>1162</v>
      </c>
      <c r="C409">
        <v>2015</v>
      </c>
      <c r="D409" t="s">
        <v>1163</v>
      </c>
      <c r="E409" t="s">
        <v>1164</v>
      </c>
      <c r="G409" t="s">
        <v>1165</v>
      </c>
      <c r="H409" s="1" t="str">
        <f>_xlfn.TEXTJOIN(CHAR(10),FALSE, _xlfn.TEXTSPLIT(Table_textAnnotations[[#This Row],[Anno_Text]], "ABSATZ"))</f>
        <v>Sinneseindrücke oder alleine Imagination können über supraspinale Zentren parasympathische Fasern aus dem Sakralmark (blau) aktivieren. Sie werden im Plexus hypogastricus inferior umgeschaltet und versorgen die erektilen Gewebe im Penis bzw. in Klitoris, Labiae und äußerer Vagina über den N. splanchnicus pelvicus (→ Abb. 7.11).</v>
      </c>
      <c r="I409" s="1" t="s">
        <v>1165</v>
      </c>
      <c r="J409" s="2" t="b">
        <v>1</v>
      </c>
      <c r="L409" t="str">
        <f>_xlfn.TEXTJOIN("_",TRUE,Table_textAnnotations[[#This Row],[Buch_Key]],Table_textAnnotations[[#This Row],[Anno_Key]],IF(ISBLANK(Table_textAnnotations[[#This Row],[Anno_Page_manuell]]),Table_textAnnotations[[#This Row],[Anno_Page_Auto]],Table_textAnnotations[[#This Row],[Anno_Page_manuell]]))&amp; ".txt"</f>
        <v>E9NS23IM_4IN5IWHF_172.txt</v>
      </c>
    </row>
    <row r="410" spans="1:12" ht="30" x14ac:dyDescent="0.25">
      <c r="A410" t="s">
        <v>1161</v>
      </c>
      <c r="B410" t="s">
        <v>1162</v>
      </c>
      <c r="C410">
        <v>2015</v>
      </c>
      <c r="D410" t="s">
        <v>1166</v>
      </c>
      <c r="E410" t="s">
        <v>1164</v>
      </c>
      <c r="G410" t="s">
        <v>1167</v>
      </c>
      <c r="H410" s="1" t="str">
        <f>_xlfn.TEXTJOIN(CHAR(10),FALSE, _xlfn.TEXTSPLIT(Table_textAnnotations[[#This Row],[Anno_Text]], "ABSATZ"))</f>
        <v>Sensible Afferenzen (rot)  stammen v.a. aus der Glans penis bzw. der Klitoris und den Labiae und ziehen mit dem N. pudendus zum Sakralmark.</v>
      </c>
      <c r="I410" s="1" t="s">
        <v>1167</v>
      </c>
      <c r="J410" s="2" t="b">
        <v>1</v>
      </c>
      <c r="L410" t="str">
        <f>_xlfn.TEXTJOIN("_",TRUE,Table_textAnnotations[[#This Row],[Buch_Key]],Table_textAnnotations[[#This Row],[Anno_Key]],IF(ISBLANK(Table_textAnnotations[[#This Row],[Anno_Page_manuell]]),Table_textAnnotations[[#This Row],[Anno_Page_Auto]],Table_textAnnotations[[#This Row],[Anno_Page_manuell]]))&amp; ".txt"</f>
        <v>E9NS23IM_TT9RUXTC_172.txt</v>
      </c>
    </row>
    <row r="411" spans="1:12" ht="45" x14ac:dyDescent="0.25">
      <c r="A411" t="s">
        <v>1168</v>
      </c>
      <c r="B411" t="s">
        <v>1169</v>
      </c>
      <c r="C411">
        <v>2016</v>
      </c>
      <c r="D411" t="s">
        <v>1170</v>
      </c>
      <c r="E411" t="s">
        <v>1171</v>
      </c>
      <c r="G411" t="s">
        <v>1172</v>
      </c>
      <c r="H411" s="1" t="str">
        <f>_xlfn.TEXTJOIN(CHAR(10),FALSE, _xlfn.TEXTSPLIT(Table_textAnnotations[[#This Row],[Anno_Text]], "ABSATZ"))</f>
        <v>Äußere Geschlechtsorgane (äußeres Genitale)  Das äußere Genitale der Frau wird zur Vulva zusammengefasst.  • Scheidenvorhof (Vestibulum vaginae)  Bartholin-Drüsen  • Große Schamlippen (große Labien) • Kleine Schamlippen (kleine Labien)  • Kitzler (Klitoris)</v>
      </c>
      <c r="I411" s="1" t="s">
        <v>1416</v>
      </c>
      <c r="J411" s="2" t="b">
        <v>1</v>
      </c>
      <c r="L411" t="str">
        <f>_xlfn.TEXTJOIN("_",TRUE,Table_textAnnotations[[#This Row],[Buch_Key]],Table_textAnnotations[[#This Row],[Anno_Key]],IF(ISBLANK(Table_textAnnotations[[#This Row],[Anno_Page_manuell]]),Table_textAnnotations[[#This Row],[Anno_Page_Auto]],Table_textAnnotations[[#This Row],[Anno_Page_manuell]]))&amp; ".txt"</f>
        <v>JSURF64I_9PEUJK3Y_320.txt</v>
      </c>
    </row>
    <row r="412" spans="1:12" ht="45" x14ac:dyDescent="0.25">
      <c r="A412" t="s">
        <v>1168</v>
      </c>
      <c r="B412" t="s">
        <v>1169</v>
      </c>
      <c r="C412">
        <v>2016</v>
      </c>
      <c r="D412" t="s">
        <v>1173</v>
      </c>
      <c r="E412" t="s">
        <v>1174</v>
      </c>
      <c r="F412">
        <v>327</v>
      </c>
      <c r="G412" t="s">
        <v>1175</v>
      </c>
      <c r="H412" s="1" t="str">
        <f>_xlfn.TEXTJOIN(CHAR(10),FALSE, _xlfn.TEXTSPLIT(Table_textAnnotations[[#This Row],[Anno_Text]], "ABSATZ"))</f>
        <v>Der Kitzler (Klitoris) ist ein kleines schwellfähiges (erektiles) Organ und liegt am vorderen Ende der kleinen Schamlippen. Entwicklungsgeschichtlich und damit in seiner Bauart entspricht er den Schwellkörpern des Penis. Die Klitoris dient der Wahrnehmung der  geschlechtlichen Erregung.</v>
      </c>
      <c r="I412" s="1" t="s">
        <v>1175</v>
      </c>
      <c r="J412" s="2" t="b">
        <v>1</v>
      </c>
      <c r="L412" t="str">
        <f>_xlfn.TEXTJOIN("_",TRUE,Table_textAnnotations[[#This Row],[Buch_Key]],Table_textAnnotations[[#This Row],[Anno_Key]],IF(ISBLANK(Table_textAnnotations[[#This Row],[Anno_Page_manuell]]),Table_textAnnotations[[#This Row],[Anno_Page_Auto]],Table_textAnnotations[[#This Row],[Anno_Page_manuell]]))&amp; ".txt"</f>
        <v>JSURF64I_VWYZNUFA_327.txt</v>
      </c>
    </row>
    <row r="413" spans="1:12" ht="45" x14ac:dyDescent="0.25">
      <c r="A413" t="s">
        <v>1168</v>
      </c>
      <c r="B413" t="s">
        <v>1169</v>
      </c>
      <c r="C413">
        <v>2016</v>
      </c>
      <c r="D413" t="s">
        <v>1176</v>
      </c>
      <c r="E413" t="s">
        <v>1177</v>
      </c>
      <c r="F413">
        <v>339</v>
      </c>
      <c r="G413" t="s">
        <v>1178</v>
      </c>
      <c r="H413" s="1" t="str">
        <f>_xlfn.TEXTJOIN(CHAR(10),FALSE, _xlfn.TEXTSPLIT(Table_textAnnotations[[#This Row],[Anno_Text]], "ABSATZ"))</f>
        <v>Der sexuelle Reaktionszyklus des Mannes beginnt mit der Erektion des Penis, jener der Frau mit Veränderungen an den äußeren Geschlechtsorganen, wie der Vergrößerung der äußeren Genitalien, nämlich der Schamlippen und der Klitoris sowie Erektion der Brustwarzen und Veränderungen an den inneren Geschlechtsorganen (Absonderung mukoider Flüssigkeit in der Vagina).</v>
      </c>
      <c r="I413" s="1" t="s">
        <v>1178</v>
      </c>
      <c r="J413" s="2" t="b">
        <v>1</v>
      </c>
      <c r="L413" t="str">
        <f>_xlfn.TEXTJOIN("_",TRUE,Table_textAnnotations[[#This Row],[Buch_Key]],Table_textAnnotations[[#This Row],[Anno_Key]],IF(ISBLANK(Table_textAnnotations[[#This Row],[Anno_Page_manuell]]),Table_textAnnotations[[#This Row],[Anno_Page_Auto]],Table_textAnnotations[[#This Row],[Anno_Page_manuell]]))&amp; ".txt"</f>
        <v>JSURF64I_92WGKZHG_339.txt</v>
      </c>
    </row>
    <row r="414" spans="1:12" ht="75" x14ac:dyDescent="0.25">
      <c r="A414" t="s">
        <v>1168</v>
      </c>
      <c r="B414" t="s">
        <v>1169</v>
      </c>
      <c r="C414">
        <v>2016</v>
      </c>
      <c r="D414" t="s">
        <v>1179</v>
      </c>
      <c r="E414" t="s">
        <v>1180</v>
      </c>
      <c r="F414">
        <v>340</v>
      </c>
      <c r="G414" t="s">
        <v>1181</v>
      </c>
      <c r="H414" s="1" t="str">
        <f>_xlfn.TEXTJOIN(CHAR(10),FALSE, _xlfn.TEXTSPLIT(Table_textAnnotations[[#This Row],[Anno_Text]], "ABSATZ"))</f>
        <v>Erregungsphase 
Auslösung erotischer Empfindungen durch unterschiedliche Reize (visuell, auditiv, taktil aber auch aufgrund von Fantasien). Besonders sensibel auf Berührung reagieren bestimmte Körperregionen, die sog. erogenen Zonen (Klitoris, kleine Schamlippen und Brustwarzen bei der Frau, Eichel beim Mann, aber auch Hautbezirke um den Mund und den After sowie an den Innenseiten der Oberschenkel oder an den Ohrläppchen).</v>
      </c>
      <c r="I414" s="1" t="s">
        <v>1346</v>
      </c>
      <c r="J414" s="2" t="b">
        <v>1</v>
      </c>
      <c r="L414" t="str">
        <f>_xlfn.TEXTJOIN("_",TRUE,Table_textAnnotations[[#This Row],[Buch_Key]],Table_textAnnotations[[#This Row],[Anno_Key]],IF(ISBLANK(Table_textAnnotations[[#This Row],[Anno_Page_manuell]]),Table_textAnnotations[[#This Row],[Anno_Page_Auto]],Table_textAnnotations[[#This Row],[Anno_Page_manuell]]))&amp; ".txt"</f>
        <v>JSURF64I_Y2JWCHP4_340.txt</v>
      </c>
    </row>
    <row r="415" spans="1:12" ht="30" x14ac:dyDescent="0.25">
      <c r="A415" t="s">
        <v>1182</v>
      </c>
      <c r="B415" t="s">
        <v>1183</v>
      </c>
      <c r="C415">
        <v>2017</v>
      </c>
      <c r="D415" t="s">
        <v>1184</v>
      </c>
      <c r="E415" t="s">
        <v>128</v>
      </c>
      <c r="F415">
        <v>113</v>
      </c>
      <c r="G415" t="s">
        <v>1185</v>
      </c>
      <c r="H415" s="1" t="str">
        <f>_xlfn.TEXTJOIN(CHAR(10),FALSE, _xlfn.TEXTSPLIT(Table_textAnnotations[[#This Row],[Anno_Text]], "ABSATZ"))</f>
        <v>Die äußeren Genitalien schließen die äußeren Schamlippen, die kleinen Schamlippen, den Scheidenvorhof und die Klitoris samt Klitorisvorhaut ein.</v>
      </c>
      <c r="I415" s="1" t="s">
        <v>1185</v>
      </c>
      <c r="J415" s="2" t="b">
        <v>1</v>
      </c>
      <c r="L415" t="str">
        <f>_xlfn.TEXTJOIN("_",TRUE,Table_textAnnotations[[#This Row],[Buch_Key]],Table_textAnnotations[[#This Row],[Anno_Key]],IF(ISBLANK(Table_textAnnotations[[#This Row],[Anno_Page_manuell]]),Table_textAnnotations[[#This Row],[Anno_Page_Auto]],Table_textAnnotations[[#This Row],[Anno_Page_manuell]]))&amp; ".txt"</f>
        <v>SDXUJM3C_IU4R9FBU_113.txt</v>
      </c>
    </row>
    <row r="416" spans="1:12" ht="75" x14ac:dyDescent="0.25">
      <c r="A416" t="s">
        <v>1182</v>
      </c>
      <c r="B416" t="s">
        <v>1183</v>
      </c>
      <c r="C416">
        <v>2017</v>
      </c>
      <c r="D416" t="s">
        <v>1186</v>
      </c>
      <c r="E416" t="s">
        <v>128</v>
      </c>
      <c r="F416">
        <v>113</v>
      </c>
      <c r="G416" t="s">
        <v>1187</v>
      </c>
      <c r="H416" s="1" t="str">
        <f>_xlfn.TEXTJOIN(CHAR(10),FALSE, _xlfn.TEXTSPLIT(Table_textAnnotations[[#This Row],[Anno_Text]], "ABSATZ"))</f>
        <v>Als Verstümmeln sind alle Handlungen anzusehen, die mit mechanischen Mitteln zu Einbußen an Körpersubstanz im Bereich der äußeren weiblichen Genitalien führen.103  Damit sollen neben den von der Weltgesundheitsorganisation (WHO) als Klitoridektomie, Exzision und Infibulation typisiert umschriebenen Erscheinungsformen der Beschneidung von Frauen und Mädchen auch sonstige Veränderungen an den weiblichen Genitalien - wie etwa Einschnitte, Ätzungen oder Ausbrennen - erfasst werden.104 Danach reichen die Tathandlungen vom Entfernen von Gewebe aus dem Körper, Entfernung der Klitoris bis zur vollständigen Verschließung der weiblichen Genitalöffnung.</v>
      </c>
      <c r="I416" s="1" t="s">
        <v>1187</v>
      </c>
      <c r="J416" s="2" t="b">
        <v>0</v>
      </c>
      <c r="L416" t="str">
        <f>_xlfn.TEXTJOIN("_",TRUE,Table_textAnnotations[[#This Row],[Buch_Key]],Table_textAnnotations[[#This Row],[Anno_Key]],IF(ISBLANK(Table_textAnnotations[[#This Row],[Anno_Page_manuell]]),Table_textAnnotations[[#This Row],[Anno_Page_Auto]],Table_textAnnotations[[#This Row],[Anno_Page_manuell]]))&amp; ".txt"</f>
        <v>SDXUJM3C_E9LNRF6B_113.txt</v>
      </c>
    </row>
    <row r="417" spans="1:12" x14ac:dyDescent="0.25">
      <c r="A417" t="s">
        <v>1188</v>
      </c>
      <c r="B417" t="s">
        <v>1189</v>
      </c>
      <c r="C417">
        <v>2018</v>
      </c>
      <c r="D417" t="s">
        <v>1190</v>
      </c>
      <c r="E417" t="s">
        <v>1191</v>
      </c>
      <c r="G417" t="s">
        <v>1192</v>
      </c>
      <c r="H417" s="1" t="str">
        <f>_xlfn.TEXTJOIN(CHAR(10),FALSE, _xlfn.TEXTSPLIT(Table_textAnnotations[[#This Row],[Anno_Text]], "ABSATZ"))</f>
        <v>ÄußereGeschlechtsorgane  der Frau:  Große und kleine Schamlippen (Labien),  Klitoris.  - Scheidenvorhof.  Vorhofdrüsen.</v>
      </c>
      <c r="I417" s="1" t="s">
        <v>1417</v>
      </c>
      <c r="J417" s="2" t="b">
        <v>1</v>
      </c>
      <c r="L417" t="str">
        <f>_xlfn.TEXTJOIN("_",TRUE,Table_textAnnotations[[#This Row],[Buch_Key]],Table_textAnnotations[[#This Row],[Anno_Key]],IF(ISBLANK(Table_textAnnotations[[#This Row],[Anno_Page_manuell]]),Table_textAnnotations[[#This Row],[Anno_Page_Auto]],Table_textAnnotations[[#This Row],[Anno_Page_manuell]]))&amp; ".txt"</f>
        <v>INDQBXBD_ZCZR45E9_405.txt</v>
      </c>
    </row>
    <row r="418" spans="1:12" ht="45" x14ac:dyDescent="0.25">
      <c r="A418" t="s">
        <v>1188</v>
      </c>
      <c r="B418" t="s">
        <v>1189</v>
      </c>
      <c r="C418">
        <v>2018</v>
      </c>
      <c r="D418" t="s">
        <v>1193</v>
      </c>
      <c r="E418" t="s">
        <v>1194</v>
      </c>
      <c r="G418" t="s">
        <v>1195</v>
      </c>
      <c r="H418" s="1" t="str">
        <f>_xlfn.TEXTJOIN(CHAR(10),FALSE, _xlfn.TEXTSPLIT(Table_textAnnotations[[#This Row],[Anno_Text]], "ABSATZ"))</f>
        <v>Die äußeren, sichtbaren weiblichen Geschlechts  organe werden unter dem Begriff Vulva zusam  mengefasst, dazu gehören die kleinen und großen  Schamlippen, der Kitzler (Klitoris) sowie derSchei denvorhof. Der Kitzler befindet sich am oberen Winkel der kleinen Schamlippen und weist zahlreiche Nervenendigungen für die sexuelle Erregung auf, darunter mündet die Harnröhre ein.</v>
      </c>
      <c r="I418" s="1" t="s">
        <v>1418</v>
      </c>
      <c r="J418" s="2" t="b">
        <v>1</v>
      </c>
      <c r="L418" t="str">
        <f>_xlfn.TEXTJOIN("_",TRUE,Table_textAnnotations[[#This Row],[Buch_Key]],Table_textAnnotations[[#This Row],[Anno_Key]],IF(ISBLANK(Table_textAnnotations[[#This Row],[Anno_Page_manuell]]),Table_textAnnotations[[#This Row],[Anno_Page_Auto]],Table_textAnnotations[[#This Row],[Anno_Page_manuell]]))&amp; ".txt"</f>
        <v>INDQBXBD_A9NJE4T6_406.txt</v>
      </c>
    </row>
    <row r="419" spans="1:12" ht="75" x14ac:dyDescent="0.25">
      <c r="A419" t="s">
        <v>1196</v>
      </c>
      <c r="B419" t="s">
        <v>1197</v>
      </c>
      <c r="C419">
        <v>2020</v>
      </c>
      <c r="D419" t="s">
        <v>1198</v>
      </c>
      <c r="E419" t="s">
        <v>1199</v>
      </c>
      <c r="G419" t="s">
        <v>1200</v>
      </c>
      <c r="H419" s="1" t="str">
        <f>_xlfn.TEXTJOIN(CHAR(10),FALSE, _xlfn.TEXTSPLIT(Table_textAnnotations[[#This Row],[Anno_Text]], "ABSATZ"))</f>
        <v>[Kontext: Gesetzgebung zu FGM/C]
Auch im Verhältnis zu anderen Rechtsgütern ist die exzessive Strafdrohung kaum zu verstehen: Wer zB gegen den Willen einer Frau deren Kind im sechsten Monat durch Fußtritte abtreibt, hat eine Strafe von sechsMonaten bis zu fünf Jahrenzu befürchten (§ 218 II),also ein Drittel dessen, was ihm im Fall einer,,Verstümmelung" der Klitorisvorhaut derselben Frau droht.</v>
      </c>
      <c r="I419" s="1" t="s">
        <v>1391</v>
      </c>
      <c r="J419" s="2" t="b">
        <v>0</v>
      </c>
      <c r="L419" t="str">
        <f>_xlfn.TEXTJOIN("_",TRUE,Table_textAnnotations[[#This Row],[Buch_Key]],Table_textAnnotations[[#This Row],[Anno_Key]],IF(ISBLANK(Table_textAnnotations[[#This Row],[Anno_Page_manuell]]),Table_textAnnotations[[#This Row],[Anno_Page_Auto]],Table_textAnnotations[[#This Row],[Anno_Page_manuell]]))&amp; ".txt"</f>
        <v>MI5JDMF9_568WQDF2_1613.txt</v>
      </c>
    </row>
    <row r="420" spans="1:12" x14ac:dyDescent="0.25">
      <c r="A420" t="s">
        <v>1196</v>
      </c>
      <c r="B420" t="s">
        <v>1197</v>
      </c>
      <c r="C420">
        <v>2020</v>
      </c>
      <c r="D420" t="s">
        <v>1201</v>
      </c>
      <c r="E420" t="s">
        <v>1199</v>
      </c>
      <c r="G420" t="s">
        <v>1202</v>
      </c>
      <c r="H420" s="1" t="str">
        <f>_xlfn.TEXTJOIN(CHAR(10),FALSE, _xlfn.TEXTSPLIT(Table_textAnnotations[[#This Row],[Anno_Text]], "ABSATZ"))</f>
        <v>A. Äußere Genitalien sind die äußeren Schamlippen, die inneren oder kleinen 9 Schamlippen, Scheidenvorhof, Klitoris samtKlitorisvorhaut.</v>
      </c>
      <c r="I420" s="1" t="s">
        <v>1419</v>
      </c>
      <c r="J420" s="2" t="b">
        <v>1</v>
      </c>
      <c r="L420" t="str">
        <f>_xlfn.TEXTJOIN("_",TRUE,Table_textAnnotations[[#This Row],[Buch_Key]],Table_textAnnotations[[#This Row],[Anno_Key]],IF(ISBLANK(Table_textAnnotations[[#This Row],[Anno_Page_manuell]]),Table_textAnnotations[[#This Row],[Anno_Page_Auto]],Table_textAnnotations[[#This Row],[Anno_Page_manuell]]))&amp; ".txt"</f>
        <v>MI5JDMF9_U6VN24EP_1613.txt</v>
      </c>
    </row>
    <row r="421" spans="1:12" ht="45" x14ac:dyDescent="0.25">
      <c r="A421" t="s">
        <v>1196</v>
      </c>
      <c r="B421" t="s">
        <v>1197</v>
      </c>
      <c r="C421">
        <v>2020</v>
      </c>
      <c r="D421" t="s">
        <v>1203</v>
      </c>
      <c r="E421" t="s">
        <v>1204</v>
      </c>
      <c r="G421" t="s">
        <v>1205</v>
      </c>
      <c r="H421" s="1" t="str">
        <f>_xlfn.TEXTJOIN(CHAR(10),FALSE, _xlfn.TEXTSPLIT(Table_textAnnotations[[#This Row],[Anno_Text]], "ABSATZ"))</f>
        <v>Die WHO hat als typische Form der Genitalverstümmelung die Klitoridectomie (Entfernung der Klitoris), vollständige oder teilweiseEntfernung andereräußerer Geschlechtsorgane sowie weitere Veränderungen an den Genitalien durch Schnitte, Ätzungen, Brennungen beschrieben.</v>
      </c>
      <c r="I421" s="1" t="s">
        <v>1205</v>
      </c>
      <c r="J421" s="2" t="b">
        <v>0</v>
      </c>
      <c r="L421" t="str">
        <f>_xlfn.TEXTJOIN("_",TRUE,Table_textAnnotations[[#This Row],[Buch_Key]],Table_textAnnotations[[#This Row],[Anno_Key]],IF(ISBLANK(Table_textAnnotations[[#This Row],[Anno_Page_manuell]]),Table_textAnnotations[[#This Row],[Anno_Page_Auto]],Table_textAnnotations[[#This Row],[Anno_Page_manuell]]))&amp; ".txt"</f>
        <v>MI5JDMF9_P8RF5KFB_1614.txt</v>
      </c>
    </row>
    <row r="422" spans="1:12" ht="60" x14ac:dyDescent="0.25">
      <c r="A422" t="s">
        <v>1196</v>
      </c>
      <c r="B422" t="s">
        <v>1197</v>
      </c>
      <c r="C422">
        <v>2020</v>
      </c>
      <c r="D422" t="s">
        <v>1206</v>
      </c>
      <c r="E422" t="s">
        <v>1204</v>
      </c>
      <c r="G422" t="s">
        <v>1207</v>
      </c>
      <c r="H422" s="1" t="str">
        <f>_xlfn.TEXTJOIN(CHAR(10),FALSE, _xlfn.TEXTSPLIT(Table_textAnnotations[[#This Row],[Anno_Text]], "ABSATZ"))</f>
        <v>Tatsächlich sind manchen Formen der Genitalverstümmelung bei Mädchen (Beschneiden der Klitoris-Vorhaut; sog. „,milde sunna") von solchen bei Knaben (Beschneiden der Penis-Vorhaut) kaum zu unterscheiden (vgl. auch Hardtung, Anhörung [1a], 2 f.; Fünfsinn [ebd. 7]; Terredes Femmese.V., Studiezuweiblicher Genitalverstümmelung, 2005, 4; Hörnle Gutachten 70. DJT, 2014, C 53, 55,  vgl.zuFormenundFolgen auchSotiriadisZIS141320,321ff)</v>
      </c>
      <c r="I422" s="1" t="s">
        <v>1207</v>
      </c>
      <c r="J422" s="2" t="b">
        <v>0</v>
      </c>
      <c r="L422" t="str">
        <f>_xlfn.TEXTJOIN("_",TRUE,Table_textAnnotations[[#This Row],[Buch_Key]],Table_textAnnotations[[#This Row],[Anno_Key]],IF(ISBLANK(Table_textAnnotations[[#This Row],[Anno_Page_manuell]]),Table_textAnnotations[[#This Row],[Anno_Page_Auto]],Table_textAnnotations[[#This Row],[Anno_Page_manuell]]))&amp; ".txt"</f>
        <v>MI5JDMF9_EIEPU3G5_1614.txt</v>
      </c>
    </row>
    <row r="423" spans="1:12" ht="60" x14ac:dyDescent="0.25">
      <c r="A423" t="s">
        <v>1208</v>
      </c>
      <c r="B423" t="s">
        <v>1209</v>
      </c>
      <c r="C423">
        <v>2020</v>
      </c>
      <c r="D423" t="s">
        <v>1210</v>
      </c>
      <c r="E423" t="s">
        <v>397</v>
      </c>
      <c r="G423" t="s">
        <v>1211</v>
      </c>
      <c r="H423" s="1" t="str">
        <f>_xlfn.TEXTJOIN(CHAR(10),FALSE, _xlfn.TEXTSPLIT(Table_textAnnotations[[#This Row],[Anno_Text]], "ABSATZ"))</f>
        <v>Die häufigste Störung der Geschlechtsentwicklung bei genetisch weiblichen Neugeborenen ist das Andrenogenitale Syndrom (AGS).106 Es kann  ein inkompletter bis kompletter Defekt der Kortisol- und Aldosteronsynthese vorliegen.107 Die kompensatorische Überproduktion männlicher Sexualhormone führt insbesondere zu einer Erhöhung der Androgene, wodurch bei den betroffenen Mädchen bei Geburt eine ausgeprägte genitale Virilisierung108 mit Klitorishypertrophie109 vorliegt.</v>
      </c>
      <c r="I423" s="1" t="s">
        <v>1211</v>
      </c>
      <c r="J423" s="2" t="b">
        <v>1</v>
      </c>
      <c r="K423" t="s">
        <v>1320</v>
      </c>
      <c r="L423" t="str">
        <f>_xlfn.TEXTJOIN("_",TRUE,Table_textAnnotations[[#This Row],[Buch_Key]],Table_textAnnotations[[#This Row],[Anno_Key]],IF(ISBLANK(Table_textAnnotations[[#This Row],[Anno_Page_manuell]]),Table_textAnnotations[[#This Row],[Anno_Page_Auto]],Table_textAnnotations[[#This Row],[Anno_Page_manuell]]))&amp; ".txt"</f>
        <v>N5QXI8PQ_AH58DIBS_41.txt</v>
      </c>
    </row>
    <row r="424" spans="1:12" ht="30" x14ac:dyDescent="0.25">
      <c r="A424" t="s">
        <v>1208</v>
      </c>
      <c r="B424" t="s">
        <v>1209</v>
      </c>
      <c r="C424">
        <v>2020</v>
      </c>
      <c r="D424" t="s">
        <v>1212</v>
      </c>
      <c r="E424" t="s">
        <v>397</v>
      </c>
      <c r="G424" t="s">
        <v>1213</v>
      </c>
      <c r="H424" s="1" t="str">
        <f>_xlfn.TEXTJOIN(CHAR(10),FALSE, _xlfn.TEXTSPLIT(Table_textAnnotations[[#This Row],[Anno_Text]], "ABSATZ"))</f>
        <v>Als Klitorishypertrophie wird in der Medizin eine abnormale Vergrößerung der Klitoris verstanden. Frauen leiden hierbei unter einer Klitoris, die teilweise  durch ihre ungewöhnliche Größe dem männlichen Penis ähnelt.</v>
      </c>
      <c r="I424" s="1" t="s">
        <v>1213</v>
      </c>
      <c r="J424" s="2" t="b">
        <v>1</v>
      </c>
      <c r="K424" t="s">
        <v>1320</v>
      </c>
      <c r="L424" t="str">
        <f>_xlfn.TEXTJOIN("_",TRUE,Table_textAnnotations[[#This Row],[Buch_Key]],Table_textAnnotations[[#This Row],[Anno_Key]],IF(ISBLANK(Table_textAnnotations[[#This Row],[Anno_Page_manuell]]),Table_textAnnotations[[#This Row],[Anno_Page_Auto]],Table_textAnnotations[[#This Row],[Anno_Page_manuell]]))&amp; ".txt"</f>
        <v>N5QXI8PQ_CDXPIUGF_41.txt</v>
      </c>
    </row>
    <row r="425" spans="1:12" ht="60" x14ac:dyDescent="0.25">
      <c r="A425" t="s">
        <v>1208</v>
      </c>
      <c r="B425" t="s">
        <v>1209</v>
      </c>
      <c r="C425">
        <v>2020</v>
      </c>
      <c r="D425" t="s">
        <v>1214</v>
      </c>
      <c r="E425" t="s">
        <v>37</v>
      </c>
      <c r="G425" t="s">
        <v>1215</v>
      </c>
      <c r="H425" s="1" t="str">
        <f>_xlfn.TEXTJOIN(CHAR(10),FALSE, _xlfn.TEXTSPLIT(Table_textAnnotations[[#This Row],[Anno_Text]], "ABSATZ"))</f>
        <v>[Kontext: AGS]
Die Bandbreite erstreckt sich von einer leichten Klitorishypertrophie bis zu einer kompletten Fusion der Labioskrotalfalten mit Ausbildung einer penisartigen Klitoris, auf deren Glans die Urethra mündet.114</v>
      </c>
      <c r="I425" s="1" t="s">
        <v>1392</v>
      </c>
      <c r="J425" s="2" t="b">
        <v>1</v>
      </c>
      <c r="K425" t="s">
        <v>1320</v>
      </c>
      <c r="L425" t="str">
        <f>_xlfn.TEXTJOIN("_",TRUE,Table_textAnnotations[[#This Row],[Buch_Key]],Table_textAnnotations[[#This Row],[Anno_Key]],IF(ISBLANK(Table_textAnnotations[[#This Row],[Anno_Page_manuell]]),Table_textAnnotations[[#This Row],[Anno_Page_Auto]],Table_textAnnotations[[#This Row],[Anno_Page_manuell]]))&amp; ".txt"</f>
        <v>N5QXI8PQ_FSEF8ECL_43.txt</v>
      </c>
    </row>
    <row r="426" spans="1:12" ht="75" x14ac:dyDescent="0.25">
      <c r="A426" t="s">
        <v>1208</v>
      </c>
      <c r="B426" t="s">
        <v>1209</v>
      </c>
      <c r="C426">
        <v>2020</v>
      </c>
      <c r="D426" t="s">
        <v>1216</v>
      </c>
      <c r="E426" t="s">
        <v>359</v>
      </c>
      <c r="G426" t="s">
        <v>1217</v>
      </c>
      <c r="H426" s="1" t="str">
        <f>_xlfn.TEXTJOIN(CHAR(10),FALSE, _xlfn.TEXTSPLIT(Table_textAnnotations[[#This Row],[Anno_Text]], "ABSATZ"))</f>
        <v>Feminisierende Operationen dienen der Konstruktion eines weiblichen Genitals. Früher umfassten sie die Amputation der Klitoris, heute zum einen die Klitorisreduktionsplastik mit Bildung kleiner Labien und die Rekonstruktion der distalen Vagina.177 Die Klitorisentfernung hatte oft den Verlust der Sensibilität zur Folge, weshalb sie heute keine akzeptable Operationsmethode mehr darstellt.178 Heute kann durch Verwendung von Lupenbrillen und OP-Mikroskopen das Gefäßnervenbündel schonender präpariert werden, um das Risiko eines späteren Gefühlsverlustes zu verringern.179</v>
      </c>
      <c r="I426" s="1" t="s">
        <v>1217</v>
      </c>
      <c r="J426" s="2" t="b">
        <v>0</v>
      </c>
      <c r="L426" t="str">
        <f>_xlfn.TEXTJOIN("_",TRUE,Table_textAnnotations[[#This Row],[Buch_Key]],Table_textAnnotations[[#This Row],[Anno_Key]],IF(ISBLANK(Table_textAnnotations[[#This Row],[Anno_Page_manuell]]),Table_textAnnotations[[#This Row],[Anno_Page_Auto]],Table_textAnnotations[[#This Row],[Anno_Page_manuell]]))&amp; ".txt"</f>
        <v>N5QXI8PQ_HU4NKQ5A_53.txt</v>
      </c>
    </row>
    <row r="427" spans="1:12" ht="120" x14ac:dyDescent="0.25">
      <c r="A427" t="s">
        <v>1208</v>
      </c>
      <c r="B427" t="s">
        <v>1209</v>
      </c>
      <c r="C427">
        <v>2020</v>
      </c>
      <c r="D427" t="s">
        <v>1218</v>
      </c>
      <c r="E427" t="s">
        <v>89</v>
      </c>
      <c r="G427" t="s">
        <v>1219</v>
      </c>
      <c r="H427" s="1" t="str">
        <f>_xlfn.TEXTJOIN(CHAR(10),FALSE, _xlfn.TEXTSPLIT(Table_textAnnotations[[#This Row],[Anno_Text]], "ABSATZ"))</f>
        <v>[Kontext: Klitorisreduktionsplastik bei intersexuellen Kindern]
Über den optimalen Zeitpunkt der Operation herrscht Uneinigkeit.180 Einige Ärzte empfehlen die Anpassung des Geschlechts bis zum Abschluss des ersten, spätestens des zweiten Lebensjahres.181 Kinderchirurgen im Kinderkrankenhaus Auf der Bult (Lehrkrankenhaus der Medizinischen Hochschule Hannover) empfehlen Klitorisreduktionen, wenn das Kind endokrinologisch stabil ist, d. h. mit fünf bis sechs Monaten. 182 Für die frühe Operation wird vorgebracht, dass das normale Aussehen beruhige und die Identifikation mit der eigenen Geschlechtsrolle fördere. Andere Mediziner lehnen eine Klitorisreduktion in der frühen Kindheit ab, da sich diese bei leichteren Erscheinungsformen „herauswachse".183</v>
      </c>
      <c r="I427" s="1" t="s">
        <v>1393</v>
      </c>
      <c r="J427" s="2" t="b">
        <v>0</v>
      </c>
      <c r="L427" t="str">
        <f>_xlfn.TEXTJOIN("_",TRUE,Table_textAnnotations[[#This Row],[Buch_Key]],Table_textAnnotations[[#This Row],[Anno_Key]],IF(ISBLANK(Table_textAnnotations[[#This Row],[Anno_Page_manuell]]),Table_textAnnotations[[#This Row],[Anno_Page_Auto]],Table_textAnnotations[[#This Row],[Anno_Page_manuell]]))&amp; ".txt"</f>
        <v>N5QXI8PQ_73WHYTCC_54.txt</v>
      </c>
    </row>
    <row r="428" spans="1:12" ht="30" x14ac:dyDescent="0.25">
      <c r="A428" t="s">
        <v>1208</v>
      </c>
      <c r="B428" t="s">
        <v>1209</v>
      </c>
      <c r="C428">
        <v>2020</v>
      </c>
      <c r="D428" t="s">
        <v>1220</v>
      </c>
      <c r="E428" t="s">
        <v>89</v>
      </c>
      <c r="G428" t="s">
        <v>1221</v>
      </c>
      <c r="H428" s="1" t="str">
        <f>_xlfn.TEXTJOIN(CHAR(10),FALSE, _xlfn.TEXTSPLIT(Table_textAnnotations[[#This Row],[Anno_Text]], "ABSATZ"))</f>
        <v>Neben der Klitorisreduktion, die der Herstellung eines weiblich aussehenden äußeren Genitals dient, besteht die Möglichkeit zur Anlage einer  sog. Vaginalplastik.</v>
      </c>
      <c r="I428" s="1" t="s">
        <v>1221</v>
      </c>
      <c r="J428" s="2" t="b">
        <v>0</v>
      </c>
      <c r="L428" t="str">
        <f>_xlfn.TEXTJOIN("_",TRUE,Table_textAnnotations[[#This Row],[Buch_Key]],Table_textAnnotations[[#This Row],[Anno_Key]],IF(ISBLANK(Table_textAnnotations[[#This Row],[Anno_Page_manuell]]),Table_textAnnotations[[#This Row],[Anno_Page_Auto]],Table_textAnnotations[[#This Row],[Anno_Page_manuell]]))&amp; ".txt"</f>
        <v>N5QXI8PQ_ZL8DLQ6H_54.txt</v>
      </c>
    </row>
    <row r="429" spans="1:12" ht="45" x14ac:dyDescent="0.25">
      <c r="A429" t="s">
        <v>1208</v>
      </c>
      <c r="B429" t="s">
        <v>1209</v>
      </c>
      <c r="C429">
        <v>2020</v>
      </c>
      <c r="D429" t="s">
        <v>1222</v>
      </c>
      <c r="E429" t="s">
        <v>406</v>
      </c>
      <c r="G429" t="s">
        <v>1223</v>
      </c>
      <c r="H429" s="1" t="str">
        <f>_xlfn.TEXTJOIN(CHAR(10),FALSE, _xlfn.TEXTSPLIT(Table_textAnnotations[[#This Row],[Anno_Text]], "ABSATZ"))</f>
        <v>In der Praxis wurden bislang eher feminisierende als maskulinisierende Operationen vorgenommen. 188 Es ist grundsätzlich leichter, ein Kind zu ,,verweiblichen", da der Aufbau eines Penis durch die Größe und den Aufbau des vorhandenen Schwellkörpers begrenzt wird, Klitorisreduzierungen aber in der Regel unproblematisch möglich sind.189</v>
      </c>
      <c r="I429" s="1" t="s">
        <v>1223</v>
      </c>
      <c r="J429" s="2" t="b">
        <v>0</v>
      </c>
      <c r="L429" t="str">
        <f>_xlfn.TEXTJOIN("_",TRUE,Table_textAnnotations[[#This Row],[Buch_Key]],Table_textAnnotations[[#This Row],[Anno_Key]],IF(ISBLANK(Table_textAnnotations[[#This Row],[Anno_Page_manuell]]),Table_textAnnotations[[#This Row],[Anno_Page_Auto]],Table_textAnnotations[[#This Row],[Anno_Page_manuell]]))&amp; ".txt"</f>
        <v>N5QXI8PQ_NUIKFVCD_55.txt</v>
      </c>
    </row>
    <row r="430" spans="1:12" ht="135" x14ac:dyDescent="0.25">
      <c r="A430" t="s">
        <v>1208</v>
      </c>
      <c r="B430" t="s">
        <v>1209</v>
      </c>
      <c r="C430">
        <v>2020</v>
      </c>
      <c r="D430" t="s">
        <v>1224</v>
      </c>
      <c r="E430" t="s">
        <v>381</v>
      </c>
      <c r="F430">
        <v>81</v>
      </c>
      <c r="G430" t="s">
        <v>1225</v>
      </c>
      <c r="H430" s="1" t="str">
        <f>_xlfn.TEXTJOIN(CHAR(10),FALSE, _xlfn.TEXTSPLIT(Table_textAnnotations[[#This Row],[Anno_Text]], "ABSATZ"))</f>
        <v>Daher werden intersexuelle Personen von  der Medizin als Männer oder Frauen dargestellt, deren sexuelle Entwicklung unvollständig ist.338 Ihr körperlicher Zustand wird nicht als dem typischen männlichen oder weiblichen Körper ebenbürtig angesehen und als  etwas von der Norm Abweichendes, ja Krankhaftes, bewertet. Dabei sind  die Standards, wann ein Genital männlich oder weiblich ist, selbst nur medizinisch konstruiert. So spezifizieren Mediziner 0,2 bis 0,9 Zentimeter als angemessene Länge für die Klitoris eines neugeborenen Mädchens und 2,5  bis 4,5 Zentimeter für den Penis eines neugeborenen Jungen.339 Es existiert  kein Bereich, in dem sich die tolerierten Maße überschneiden. Die Psychologin Suzanne Kessler hat in einer explorativen Studie mit Studenten herausgefunden, dass diese eine weitaus größere Bandbreite an längeren Klitorides und kürzeren Penissen akzeptieren. Die geschätzte Länge der Klitoris  eines neugeborenen Mädchens gaben sie mit 0,9 bis 1,9 Zentimeter und  die des Penis eines neugeborenen Jungen mit 2,1 bis 3,6 Zentimeter an.340</v>
      </c>
      <c r="I430" s="1" t="s">
        <v>1225</v>
      </c>
      <c r="J430" s="2" t="b">
        <v>0</v>
      </c>
      <c r="L430" t="str">
        <f>_xlfn.TEXTJOIN("_",TRUE,Table_textAnnotations[[#This Row],[Buch_Key]],Table_textAnnotations[[#This Row],[Anno_Key]],IF(ISBLANK(Table_textAnnotations[[#This Row],[Anno_Page_manuell]]),Table_textAnnotations[[#This Row],[Anno_Page_Auto]],Table_textAnnotations[[#This Row],[Anno_Page_manuell]]))&amp; ".txt"</f>
        <v>N5QXI8PQ_P2ULRDF6_81.txt</v>
      </c>
    </row>
    <row r="431" spans="1:12" ht="60" x14ac:dyDescent="0.25">
      <c r="A431" t="s">
        <v>1208</v>
      </c>
      <c r="B431" t="s">
        <v>1209</v>
      </c>
      <c r="C431">
        <v>2020</v>
      </c>
      <c r="D431" t="s">
        <v>1226</v>
      </c>
      <c r="E431" t="s">
        <v>580</v>
      </c>
      <c r="F431">
        <v>131</v>
      </c>
      <c r="G431" t="s">
        <v>1227</v>
      </c>
      <c r="H431" s="1" t="str">
        <f>_xlfn.TEXTJOIN(CHAR(10),FALSE, _xlfn.TEXTSPLIT(Table_textAnnotations[[#This Row],[Anno_Text]], "ABSATZ"))</f>
        <v>Die Klägerin544 wurde 1959 geboren. Bei ihrer Geburt wurde verkannt, dass bei ihr ein Adrenogenitales Syndrom (AGS) vorlag, was dazu führte, dass ihre Klitoris übermäßig groß war. Infolgedessen wurde sie für einen Jungen mit einem (Mikro-)Penis gehalten. Sie wurde als Junge beim Standesamt angemeldet und entsprechend erzogen.
[Fußnote:] 544 Im Jahr 2010 erschien ein Roman, in dem sie ihre Lebensgeschichte veröffentlichte, Völling, Ich war Mann und Frau.</v>
      </c>
      <c r="I431" s="1" t="s">
        <v>1347</v>
      </c>
      <c r="J431" s="2" t="b">
        <v>1</v>
      </c>
      <c r="K431" t="s">
        <v>1320</v>
      </c>
      <c r="L431" t="str">
        <f>_xlfn.TEXTJOIN("_",TRUE,Table_textAnnotations[[#This Row],[Buch_Key]],Table_textAnnotations[[#This Row],[Anno_Key]],IF(ISBLANK(Table_textAnnotations[[#This Row],[Anno_Page_manuell]]),Table_textAnnotations[[#This Row],[Anno_Page_Auto]],Table_textAnnotations[[#This Row],[Anno_Page_manuell]]))&amp; ".txt"</f>
        <v>N5QXI8PQ_74V57MHN_131.txt</v>
      </c>
    </row>
    <row r="432" spans="1:12" ht="75" x14ac:dyDescent="0.25">
      <c r="A432" t="s">
        <v>1208</v>
      </c>
      <c r="B432" t="s">
        <v>1209</v>
      </c>
      <c r="C432">
        <v>2020</v>
      </c>
      <c r="D432" t="s">
        <v>1228</v>
      </c>
      <c r="E432" t="s">
        <v>131</v>
      </c>
      <c r="F432">
        <v>156</v>
      </c>
      <c r="G432" t="s">
        <v>1229</v>
      </c>
      <c r="H432" s="1" t="str">
        <f>_xlfn.TEXTJOIN(CHAR(10),FALSE, _xlfn.TEXTSPLIT(Table_textAnnotations[[#This Row],[Anno_Text]], "ABSATZ"))</f>
        <v>Ziel der meisten als kosmetische Operationen einstufbaren Eingriffe an intersexuellen Kindern ist, das Genital so zu verändern, dass heterosexueller Geschlechtsverkehr möglich ist.665 Dazu gehören die Klitorisreduktion, die Vaginalplastik (Neovagina) und Penisoperationen. Alle Operationen haben gemeinsam, dass durch sie die Sensibilität eingeschränkt oder gefährdet werden kann und sich das Gewebe später in der Pubertät unter dem Einfluss der Sexualhormone aufgrund von Narbensträngen möglicherweise nicht ungestört entwickeln kann.666</v>
      </c>
      <c r="I432" s="1" t="s">
        <v>1229</v>
      </c>
      <c r="J432" s="2" t="b">
        <v>0</v>
      </c>
      <c r="L432" t="str">
        <f>_xlfn.TEXTJOIN("_",TRUE,Table_textAnnotations[[#This Row],[Buch_Key]],Table_textAnnotations[[#This Row],[Anno_Key]],IF(ISBLANK(Table_textAnnotations[[#This Row],[Anno_Page_manuell]]),Table_textAnnotations[[#This Row],[Anno_Page_Auto]],Table_textAnnotations[[#This Row],[Anno_Page_manuell]]))&amp; ".txt"</f>
        <v>N5QXI8PQ_356IP8G8_156.txt</v>
      </c>
    </row>
    <row r="433" spans="1:12" ht="60" x14ac:dyDescent="0.25">
      <c r="A433" t="s">
        <v>1208</v>
      </c>
      <c r="B433" t="s">
        <v>1209</v>
      </c>
      <c r="C433">
        <v>2020</v>
      </c>
      <c r="D433" t="s">
        <v>1230</v>
      </c>
      <c r="E433" t="s">
        <v>131</v>
      </c>
      <c r="F433">
        <v>156</v>
      </c>
      <c r="G433" t="s">
        <v>1231</v>
      </c>
      <c r="H433" s="1" t="str">
        <f>_xlfn.TEXTJOIN(CHAR(10),FALSE, _xlfn.TEXTSPLIT(Table_textAnnotations[[#This Row],[Anno_Text]], "ABSATZ"))</f>
        <v>Bei der Klitorisreduktion wird die Klitoris, die als zu groß empfunden wird, operativ verkleinert. Dabei werden unterschiedliche Operationsmethoden angewendet: Neben der Klitorektomie, bei der die Klitoris vollständig amputiert wird, kommt heute vor allem die Klitorisrezession zum  Einsatz, bei der der sichtbare Teil der Klitoris verkleinert und unter einer  Hautfalte versteckt wird, sodass nur noch die Spitze zu sehen ist.667</v>
      </c>
      <c r="I433" s="1" t="s">
        <v>1231</v>
      </c>
      <c r="J433" s="2" t="b">
        <v>0</v>
      </c>
      <c r="L433" t="str">
        <f>_xlfn.TEXTJOIN("_",TRUE,Table_textAnnotations[[#This Row],[Buch_Key]],Table_textAnnotations[[#This Row],[Anno_Key]],IF(ISBLANK(Table_textAnnotations[[#This Row],[Anno_Page_manuell]]),Table_textAnnotations[[#This Row],[Anno_Page_Auto]],Table_textAnnotations[[#This Row],[Anno_Page_manuell]]))&amp; ".txt"</f>
        <v>N5QXI8PQ_IAHITX6Q_156.txt</v>
      </c>
    </row>
    <row r="434" spans="1:12" ht="60" x14ac:dyDescent="0.25">
      <c r="A434" t="s">
        <v>1208</v>
      </c>
      <c r="B434" t="s">
        <v>1209</v>
      </c>
      <c r="C434">
        <v>2020</v>
      </c>
      <c r="D434" t="s">
        <v>1232</v>
      </c>
      <c r="E434" t="s">
        <v>846</v>
      </c>
      <c r="F434">
        <v>157</v>
      </c>
      <c r="G434" t="s">
        <v>1233</v>
      </c>
      <c r="H434" s="1" t="str">
        <f>_xlfn.TEXTJOIN(CHAR(10),FALSE, _xlfn.TEXTSPLIT(Table_textAnnotations[[#This Row],[Anno_Text]], "ABSATZ"))</f>
        <v>Gerade bei einem  Mikropenis hat sich gezeigt, dass nicht wenige Betroffene es lernen, mit ihrem kleinen Penis umzugehen (im wahrsten Sinne des Wortes). Sie haben weit weniger Probleme als Männer, die mehreren Phalloplastik-Operationen unterzogen wurden.674 Aus diesen Erkenntnissen kann ebenso wie  bei Klitorisreduktionen und Vaginalplastiken geschlussfolgert werden,  dass für den Großteil der Penisoperationen keine medizinische Indikation  besteht und es sich folglich um kosmetische Operationen handelt.</v>
      </c>
      <c r="I434" s="1" t="s">
        <v>1233</v>
      </c>
      <c r="J434" s="2" t="b">
        <v>0</v>
      </c>
      <c r="L434" t="str">
        <f>_xlfn.TEXTJOIN("_",TRUE,Table_textAnnotations[[#This Row],[Buch_Key]],Table_textAnnotations[[#This Row],[Anno_Key]],IF(ISBLANK(Table_textAnnotations[[#This Row],[Anno_Page_manuell]]),Table_textAnnotations[[#This Row],[Anno_Page_Auto]],Table_textAnnotations[[#This Row],[Anno_Page_manuell]]))&amp; ".txt"</f>
        <v>N5QXI8PQ_78ZGGUZE_157.txt</v>
      </c>
    </row>
    <row r="435" spans="1:12" ht="90" x14ac:dyDescent="0.25">
      <c r="A435" t="s">
        <v>1234</v>
      </c>
      <c r="B435" t="s">
        <v>1235</v>
      </c>
      <c r="C435">
        <v>2021</v>
      </c>
      <c r="D435" t="s">
        <v>1236</v>
      </c>
      <c r="E435" t="s">
        <v>1237</v>
      </c>
      <c r="G435" t="s">
        <v>1238</v>
      </c>
      <c r="H435" s="1" t="str">
        <f>_xlfn.TEXTJOIN(CHAR(10),FALSE, _xlfn.TEXTSPLIT(Table_textAnnotations[[#This Row],[Anno_Text]], "ABSATZ"))</f>
        <v>[Kontext: Gesetzgebung zur "Verstümmelung weiblicher Genitalien"]
Hinsichtlich der Tathandlungen des Verstümmelns verweist der Gesetzgeber auf die von der WHO klassifizierten Formen der Beschneidung von Frauen und Mädchen.317 Als Tathandlung umfasst sein sollen danach die Entfernung der Klitorisvorhaut (Klitoridektomie), die teilweise oder vollständige Entfernung der Klitoriseichel und der inneren Schamlippen (Exzision) sowie die Verengung der Vaginalöffnung durch das Zusammenfügen der inneren und/oder der äußeren Schamlippen (Infibulation).318</v>
      </c>
      <c r="I435" s="1" t="s">
        <v>1394</v>
      </c>
      <c r="J435" s="2" t="b">
        <v>0</v>
      </c>
      <c r="L435" t="str">
        <f>_xlfn.TEXTJOIN("_",TRUE,Table_textAnnotations[[#This Row],[Buch_Key]],Table_textAnnotations[[#This Row],[Anno_Key]],IF(ISBLANK(Table_textAnnotations[[#This Row],[Anno_Page_manuell]]),Table_textAnnotations[[#This Row],[Anno_Page_Auto]],Table_textAnnotations[[#This Row],[Anno_Page_manuell]]))&amp; ".txt"</f>
        <v>SS39GWV9_F4ICR25J_140.txt</v>
      </c>
    </row>
    <row r="436" spans="1:12" ht="150" x14ac:dyDescent="0.25">
      <c r="A436" t="s">
        <v>1234</v>
      </c>
      <c r="B436" t="s">
        <v>1235</v>
      </c>
      <c r="C436">
        <v>2021</v>
      </c>
      <c r="D436" t="s">
        <v>1239</v>
      </c>
      <c r="E436" t="s">
        <v>1240</v>
      </c>
      <c r="G436" t="s">
        <v>1241</v>
      </c>
      <c r="H436" s="1" t="str">
        <f>_xlfn.TEXTJOIN(CHAR(10),FALSE, _xlfn.TEXTSPLIT(Table_textAnnotations[[#This Row],[Anno_Text]], "ABSATZ"))</f>
        <v>Die Beurteilung von Intensität und Folgen der Beschneidung von Jungen und Mädchen darf allerdings nicht zu stark pauschalisierend erfolgen. So sind die Formen der weiblichen Genitalbeschneidung vielfältig und umfassen unter anderem auch die bisweilen als „milde Sunna“ bezeichnete  Entfernung der Klitorisvorhaut. Diese ist von ihrer Intensität und ihren gesundheitlichen Folgen her mit einer Zirkumzision vergleichbar.348 In derartigen Fällen kann daher eine Vergleichbarkeit der Sachlagen und in der Folge  eine verfassungswidrige Ungleichbehandlung gleichartiger Sachverhalte  durch die unterschiedlichen gesetzgeberischen Regelungen bestehen. 349 Den  zu stark generalisierenden Ausführungen in der Gesetzesbegründung zu  § 1631d BGB, wonach sich die Beschneidung der weiblichen Genitalien  grundlegend von der männlichen Genitalbeschneidung unterscheiden soll,350  kann demnach jedenfalls für diese Konstellation nicht zugestimmt werden.  Eine verfassungsrechtliche Rechtfertigung für diese einfachgesetzliche Ungleichbehandlung ist nicht ersichtlich, so dass hinsichtlich der „,milden  Sunna" und der Zirkumzision eine nicht gerechtfertigte Ungleichbehandlung gleichartiger Sachverhalte vorliegt.351</v>
      </c>
      <c r="I436" s="1" t="s">
        <v>1241</v>
      </c>
      <c r="J436" s="2" t="b">
        <v>0</v>
      </c>
      <c r="L436" t="str">
        <f>_xlfn.TEXTJOIN("_",TRUE,Table_textAnnotations[[#This Row],[Buch_Key]],Table_textAnnotations[[#This Row],[Anno_Key]],IF(ISBLANK(Table_textAnnotations[[#This Row],[Anno_Page_manuell]]),Table_textAnnotations[[#This Row],[Anno_Page_Auto]],Table_textAnnotations[[#This Row],[Anno_Page_manuell]]))&amp; ".txt"</f>
        <v>SS39GWV9_45IKW2A7_146.txt</v>
      </c>
    </row>
    <row r="437" spans="1:12" ht="225" x14ac:dyDescent="0.25">
      <c r="A437" t="s">
        <v>1234</v>
      </c>
      <c r="B437" t="s">
        <v>1235</v>
      </c>
      <c r="C437">
        <v>2021</v>
      </c>
      <c r="D437" t="s">
        <v>1242</v>
      </c>
      <c r="E437" t="s">
        <v>1243</v>
      </c>
      <c r="G437" t="s">
        <v>1244</v>
      </c>
      <c r="H437" s="1" t="str">
        <f>_xlfn.TEXTJOIN(CHAR(10),FALSE, _xlfn.TEXTSPLIT(Table_textAnnotations[[#This Row],[Anno_Text]], "ABSATZ"))</f>
        <v>Die Ungleichbehandlung [von der Beschneidung männlicher und weiblicher Genitalien] führt als Rechtsfolge aber nicht zur Verfassungswidrigkeit der ganzen Vorschrift des § 226a StGB. Vielmehr besteht die Möglichkeit, eine Vereinbarkeit mit der Verfassung über eine verfassungskonforme Auslegung des Tatbestandsmerkmals des Verstümmelns zu erzielen. Aus dem Tatbestand auszuschließen sind demnach Handlungen, die in ihrer Intensität und ihren gesundheitlichen Risiken einer Beschneidung des männlichen Kleinkindes vergleichbar sind.352 Dies wird in erster Linie bei der bloßen Entfernung der Klitorisvorhaut der Fall sein. Neben einer verfassungskonformen Auslegung von § 226a StGB erscheint darüber hinaus für diese Konstellationen eine analoge Anwendung der weiteren Voraussetzungen von § 1631d BGB geboten.353
[Fußnote:] 352 Lackner/Kühl/Heger, StGB, 29. Aufl. 2018, § 226a Rn. 3; Hörnle, in: Verhandlungen des 70. Deutschen Juristentages, Band I Gutachten, Teil C, 2014, S. 55 f.; Sotiriadis, ZIS 2014, 320 (326); vgl. auch Wolters, in: Systematischer Kommentar, StGB, 9. Aufl. 2017, § 226a Rn. 8, 13, der das Tatbestandsmerkmal des Verstümmelns dahingehend restriktiv auslegen will, dass allein Tathandlungen erfasst werden, die zur Zerstörung oder dauerhaften Beeinträchtigung der sexuellen Empfindsamkeit führen; ähnlich Böse, in: Kindhäuser/Neumann/Paeffgen, StGB, 5. Aufl. 2017, § 226a Rn. 11 ff.; die Möglichkeit einer verfassungskonformen Auslegung ablehnend hingegen Hardtung, in: Münchener Kommentar, StGB, 3. Aufl. 2017, § 226a Rn. 31, der allerdings im Ergebnis im Rahmen einer systematischen Auslegung ebenfalls die Beschneidung der Klitorisvorhaut aus dem Tatbestand ausklammert (a. a. O. Rn. 61).</v>
      </c>
      <c r="I437" s="1" t="s">
        <v>1395</v>
      </c>
      <c r="J437" s="2" t="b">
        <v>0</v>
      </c>
      <c r="L437" t="str">
        <f>_xlfn.TEXTJOIN("_",TRUE,Table_textAnnotations[[#This Row],[Buch_Key]],Table_textAnnotations[[#This Row],[Anno_Key]],IF(ISBLANK(Table_textAnnotations[[#This Row],[Anno_Page_manuell]]),Table_textAnnotations[[#This Row],[Anno_Page_Auto]],Table_textAnnotations[[#This Row],[Anno_Page_manuell]]))&amp; ".txt"</f>
        <v>SS39GWV9_RLTY273N_147.txt</v>
      </c>
    </row>
    <row r="438" spans="1:12" ht="135" x14ac:dyDescent="0.25">
      <c r="A438" t="s">
        <v>1245</v>
      </c>
      <c r="B438" t="s">
        <v>1246</v>
      </c>
      <c r="C438">
        <v>2022</v>
      </c>
      <c r="D438" t="s">
        <v>1247</v>
      </c>
      <c r="E438" t="s">
        <v>696</v>
      </c>
      <c r="F438">
        <v>230</v>
      </c>
      <c r="G438" t="s">
        <v>1248</v>
      </c>
      <c r="H438" s="1" t="str">
        <f>_xlfn.TEXTJOIN(CHAR(10),FALSE, _xlfn.TEXTSPLIT(Table_textAnnotations[[#This Row],[Anno_Text]], "ABSATZ"))</f>
        <v>Die Differenzierung der Geschlechtsorgane beginnt ungefähr in der 8.-9. Fetalwoche. In der 13. Woche ist der Geschlechtsunterschied deutlich sichtbar, ab der 16. Woche voll ausgebildet:
• Beim männlichen Fetus vergrößert sich unter dem Einfluss von Testosteron der Genitalhöcker zum Phallus und bildet den späteren Penis. Der Sinus urogenitalis schließt sich durch Verschmelzung der Genitalfalten vollständig und bildet die Pars spongiosa der Urethra. Die Genitalwülste (Skrotalwülste) vereinigen sich zum Scrotum.
• Beim weiblichen Fetus (Fehlen von Testosteron) bilden sich aus dem Genitalhöcker das Corpus clitoridis sowie die Crura clitoridis. Der Sinus urogenitalis bleibt als Vestibulum vaginae offen und die beiden Genitalfalten bilden die kleinen Vulvalippen (Labia minora). Die Genitalwülste vergrößern sich und bilden die großen Vulvalippen (Labia majora), die Bulbi vestibuli sowie das sog. RSP (infra-corporeal Residual Spongy Part).</v>
      </c>
      <c r="I438" s="1" t="s">
        <v>1348</v>
      </c>
      <c r="J438" s="2" t="b">
        <v>1</v>
      </c>
      <c r="L438" t="str">
        <f>_xlfn.TEXTJOIN("_",TRUE,Table_textAnnotations[[#This Row],[Buch_Key]],Table_textAnnotations[[#This Row],[Anno_Key]],IF(ISBLANK(Table_textAnnotations[[#This Row],[Anno_Page_manuell]]),Table_textAnnotations[[#This Row],[Anno_Page_Auto]],Table_textAnnotations[[#This Row],[Anno_Page_manuell]]))&amp; ".txt"</f>
        <v>UJ9ZXK7A_STCWDZ8S_230.txt</v>
      </c>
    </row>
    <row r="439" spans="1:12" ht="90" x14ac:dyDescent="0.25">
      <c r="A439" t="s">
        <v>1245</v>
      </c>
      <c r="B439" t="s">
        <v>1246</v>
      </c>
      <c r="C439">
        <v>2022</v>
      </c>
      <c r="D439" t="s">
        <v>1249</v>
      </c>
      <c r="E439" t="s">
        <v>522</v>
      </c>
      <c r="F439">
        <v>231</v>
      </c>
      <c r="G439" t="s">
        <v>1250</v>
      </c>
      <c r="H439" s="1" t="str">
        <f>_xlfn.TEXTJOIN(CHAR(10),FALSE, _xlfn.TEXTSPLIT(Table_textAnnotations[[#This Row],[Anno_Text]], "ABSATZ"))</f>
        <v>[Kontext: Merkmale des "Hermaphroditismus verus (echtes Zwittertum)"]
Sehr seltene Zwitterbildung (in etwa 70% der Fälle weiblicher Karyotyp: 46,XX). Die Keimdrüsen enthalten sowohl Hoden-als auch Ovargewebe (Ovotestis), wobei das Ovargewebe überwiegt. Die äußeren Geschlechtsorgane sind daher in der Regel weiblich ausgeprägt, jedoch mit einer deutlich vergrößerten Clitoris. Ein Uterus ist häufig vorhanden. Die meistens Hermaphroditenwerden als Mädchen aufgezogen.</v>
      </c>
      <c r="I439" s="1" t="s">
        <v>1431</v>
      </c>
      <c r="J439" s="2" t="b">
        <v>1</v>
      </c>
      <c r="K439" t="s">
        <v>1320</v>
      </c>
      <c r="L439" t="str">
        <f>_xlfn.TEXTJOIN("_",TRUE,Table_textAnnotations[[#This Row],[Buch_Key]],Table_textAnnotations[[#This Row],[Anno_Key]],IF(ISBLANK(Table_textAnnotations[[#This Row],[Anno_Page_manuell]]),Table_textAnnotations[[#This Row],[Anno_Page_Auto]],Table_textAnnotations[[#This Row],[Anno_Page_manuell]]))&amp; ".txt"</f>
        <v>UJ9ZXK7A_QR3Q5IEZ_231.txt</v>
      </c>
    </row>
    <row r="440" spans="1:12" ht="90" x14ac:dyDescent="0.25">
      <c r="A440" t="s">
        <v>1245</v>
      </c>
      <c r="B440" t="s">
        <v>1246</v>
      </c>
      <c r="C440">
        <v>2022</v>
      </c>
      <c r="D440" t="s">
        <v>1251</v>
      </c>
      <c r="E440" t="s">
        <v>522</v>
      </c>
      <c r="F440">
        <v>231</v>
      </c>
      <c r="G440" t="s">
        <v>1252</v>
      </c>
      <c r="H440" s="1" t="str">
        <f>_xlfn.TEXTJOIN(CHAR(10),FALSE, _xlfn.TEXTSPLIT(Table_textAnnotations[[#This Row],[Anno_Text]], "ABSATZ"))</f>
        <v>[Kontext: Pseudohermaphroditismus femininus]
Beispiel: angeborenes adrenogenitales Syndrom (1:5000 Lebendgeburten):
- 46,XX-Chromosomensatz;
- innere Genitalorgane weiblich, Maskulinisierung der äußeren Genitalien (Vergrößerung der Clitoris, partielle Fusion der großen Vulvalippen (früher Schamlippen), kleiner Sinus urogenitalis, s.D);</v>
      </c>
      <c r="I440" s="1" t="s">
        <v>1396</v>
      </c>
      <c r="J440" s="2" t="b">
        <v>1</v>
      </c>
      <c r="K440" t="s">
        <v>1320</v>
      </c>
      <c r="L440" t="str">
        <f>_xlfn.TEXTJOIN("_",TRUE,Table_textAnnotations[[#This Row],[Buch_Key]],Table_textAnnotations[[#This Row],[Anno_Key]],IF(ISBLANK(Table_textAnnotations[[#This Row],[Anno_Page_manuell]]),Table_textAnnotations[[#This Row],[Anno_Page_Auto]],Table_textAnnotations[[#This Row],[Anno_Page_manuell]]))&amp; ".txt"</f>
        <v>UJ9ZXK7A_26ZMZEKM_231.txt</v>
      </c>
    </row>
    <row r="441" spans="1:12" ht="120" x14ac:dyDescent="0.25">
      <c r="A441" t="s">
        <v>1245</v>
      </c>
      <c r="B441" t="s">
        <v>1246</v>
      </c>
      <c r="C441">
        <v>2022</v>
      </c>
      <c r="D441" t="s">
        <v>1253</v>
      </c>
      <c r="E441" t="s">
        <v>51</v>
      </c>
      <c r="F441">
        <v>242</v>
      </c>
      <c r="G441" t="s">
        <v>1254</v>
      </c>
      <c r="H441" s="1" t="str">
        <f>_xlfn.TEXTJOIN(CHAR(10),FALSE, _xlfn.TEXTSPLIT(Table_textAnnotations[[#This Row],[Anno_Text]], "ABSATZ"))</f>
        <v>[Kontext: Arterielle Versorgung der äußeren weiblichen Geschlechtsorgane]
Wie bei Penis und Scrotum wird die arterielle Versorgung von der A. pudenda interna übernommen. Sie tritt aus der Fossa ischioanalis (hier nicht zu sehen) und zieht nach Abgabe der A. rectalis inferior zum Anus, an den Hinterrand des Diaphragma urogenitale. Mit einem weiteren Zweig, der A. perinealis, versorgt sie Dammregion und Schwellkörpermuskeln sowie den hinteren Teil der groBen Vulvalippen (Rr.labiales posteriores). Im oberflächlichen Dammraum (Spatium superficiale perinei, hier nicht zu sehen, s. S. 191) verzweigt sich die A. pudenda interna in ihre Endäste, die A. bulbi vestibuli (zum Bulbus vestibuli) und die Aa. profunda u. dorsalis clitoridis (zum Corpus cavernosum clitoridis). Der vordere Teil der großen Vulvalippen wird über die Aa. pudendae externae (Rr. labiales anteriores) aus der A. femoralis versorgt (hier nicht zu sehen).</v>
      </c>
      <c r="I441" s="1" t="s">
        <v>1349</v>
      </c>
      <c r="J441" s="2" t="b">
        <v>1</v>
      </c>
      <c r="L441" t="str">
        <f>_xlfn.TEXTJOIN("_",TRUE,Table_textAnnotations[[#This Row],[Buch_Key]],Table_textAnnotations[[#This Row],[Anno_Key]],IF(ISBLANK(Table_textAnnotations[[#This Row],[Anno_Page_manuell]]),Table_textAnnotations[[#This Row],[Anno_Page_Auto]],Table_textAnnotations[[#This Row],[Anno_Page_manuell]]))&amp; ".txt"</f>
        <v>UJ9ZXK7A_LACU3UJE_242.txt</v>
      </c>
    </row>
    <row r="442" spans="1:12" ht="30" x14ac:dyDescent="0.25">
      <c r="A442" t="s">
        <v>1245</v>
      </c>
      <c r="B442" t="s">
        <v>1246</v>
      </c>
      <c r="C442">
        <v>2022</v>
      </c>
      <c r="D442" t="s">
        <v>1255</v>
      </c>
      <c r="E442" t="s">
        <v>51</v>
      </c>
      <c r="F442">
        <v>242</v>
      </c>
      <c r="G442" t="s">
        <v>1256</v>
      </c>
      <c r="H442" s="1" t="str">
        <f>_xlfn.TEXTJOIN(CHAR(10),FALSE, _xlfn.TEXTSPLIT(Table_textAnnotations[[#This Row],[Anno_Text]], "ABSATZ"))</f>
        <v>Die Lymphe aus den äußeren weiblichen Geschlechtsorganen fließt in die NIL.inguinales superficiales ab. Einzige Ausnahme bilden die vorderen Klitorisanteile (Corpus und Glans clitoridis). Sie führen ihre Lymphe in die NII. inguinales profundi und NII. iliaci interni ab.</v>
      </c>
      <c r="I442" s="1" t="s">
        <v>1430</v>
      </c>
      <c r="J442" s="2" t="b">
        <v>1</v>
      </c>
      <c r="L442" t="str">
        <f>_xlfn.TEXTJOIN("_",TRUE,Table_textAnnotations[[#This Row],[Buch_Key]],Table_textAnnotations[[#This Row],[Anno_Key]],IF(ISBLANK(Table_textAnnotations[[#This Row],[Anno_Page_manuell]]),Table_textAnnotations[[#This Row],[Anno_Page_Auto]],Table_textAnnotations[[#This Row],[Anno_Page_manuell]]))&amp; ".txt"</f>
        <v>UJ9ZXK7A_56D52FFP_242.txt</v>
      </c>
    </row>
    <row r="443" spans="1:12" ht="60" x14ac:dyDescent="0.25">
      <c r="A443" t="s">
        <v>1245</v>
      </c>
      <c r="B443" t="s">
        <v>1246</v>
      </c>
      <c r="C443">
        <v>2022</v>
      </c>
      <c r="D443" t="s">
        <v>1257</v>
      </c>
      <c r="E443" t="s">
        <v>51</v>
      </c>
      <c r="F443">
        <v>242</v>
      </c>
      <c r="G443" t="s">
        <v>1258</v>
      </c>
      <c r="H443" s="1" t="str">
        <f>_xlfn.TEXTJOIN(CHAR(10),FALSE, _xlfn.TEXTSPLIT(Table_textAnnotations[[#This Row],[Anno_Text]], "ABSATZ"))</f>
        <v>Der venöse Abfluss erfolgt
- aus den Vv. profundae clitoridis, Vv. labiales posteriores sowie der V. bulbi vestibuli in die V. pudenda interna.
- aus den Vv. dorsales superficiales clitoridis und Vv. labiales anteriores in die Vv. pudendae externae (hier nicht zu sehen) und
-  aus der V. dorsalis profunda clitoridis in den Plexus venosus vesicalis.</v>
      </c>
      <c r="I443" s="1" t="s">
        <v>1452</v>
      </c>
      <c r="J443" s="2" t="b">
        <v>1</v>
      </c>
      <c r="L443" t="str">
        <f>_xlfn.TEXTJOIN("_",TRUE,Table_textAnnotations[[#This Row],[Buch_Key]],Table_textAnnotations[[#This Row],[Anno_Key]],IF(ISBLANK(Table_textAnnotations[[#This Row],[Anno_Page_manuell]]),Table_textAnnotations[[#This Row],[Anno_Page_Auto]],Table_textAnnotations[[#This Row],[Anno_Page_manuell]]))&amp; ".txt"</f>
        <v>UJ9ZXK7A_BMGY8J8K_242.txt</v>
      </c>
    </row>
    <row r="444" spans="1:12" ht="135" x14ac:dyDescent="0.25">
      <c r="A444" t="s">
        <v>1245</v>
      </c>
      <c r="B444" t="s">
        <v>1246</v>
      </c>
      <c r="C444">
        <v>2022</v>
      </c>
      <c r="D444" t="s">
        <v>1259</v>
      </c>
      <c r="E444" t="s">
        <v>707</v>
      </c>
      <c r="F444">
        <v>243</v>
      </c>
      <c r="G444" t="s">
        <v>1260</v>
      </c>
      <c r="H444" s="1" t="str">
        <f>_xlfn.TEXTJOIN(CHAR(10),FALSE, _xlfn.TEXTSPLIT(Table_textAnnotations[[#This Row],[Anno_Text]], "ABSATZ"))</f>
        <v>Schwellkörpergewebe: Das Schwellkörpergewebe der Clitoris ist um die beiden Schenkel  der Clitoris (Crura clitoridis) und ihren kurzen Schaft (Corpus clitoridis) herum lokalisiert. Es entspricht dem Schwellkörpergewebe beim Mann und hat in diesem Fall sogar analoge Bezeichnungen: Corpora cavernosa clitoridis (dextrum u. sinistrum), entsprechend den Corpora cavernosa penis. Ebenso wird die Anschwellung am Ende des Klitorisschafts analog zur Glans penis als Glans clitoridis bezeichnet. Sie wird wie die Glans penis sensibel innerviert und ist größtenteils von einem Preputium clitoridis bedeckt. Das Schwellkörpergewebe der kleinen Vulvalippen ist in den unbehaarten und fettgewebefreien Hautfalten der kleinen Vulvalippen lokalisiert und wird als Bulbus vestibuli bezeichnet. Dem Bulbus vestibuli entspricht beim Mann das Corpus spongiosum  penis.  Schwellkörpermuskeln: Die beiden Schenkel,  mit denen die Clitoris beiderseits vom unteren  Schambeinast entspringt, sind vom M. ischiocavernosus bedeckt; das dichte, schwellfähige  Venengeflecht in der Basis der Vulvalippen vom M. bulbospongiosus.</v>
      </c>
      <c r="I444" s="1" t="s">
        <v>1260</v>
      </c>
      <c r="J444" s="2" t="b">
        <v>1</v>
      </c>
      <c r="L444" t="str">
        <f>_xlfn.TEXTJOIN("_",TRUE,Table_textAnnotations[[#This Row],[Buch_Key]],Table_textAnnotations[[#This Row],[Anno_Key]],IF(ISBLANK(Table_textAnnotations[[#This Row],[Anno_Page_manuell]]),Table_textAnnotations[[#This Row],[Anno_Page_Auto]],Table_textAnnotations[[#This Row],[Anno_Page_manuell]]))&amp; ".txt"</f>
        <v>UJ9ZXK7A_X4NITDZR_243.txt</v>
      </c>
    </row>
    <row r="445" spans="1:12" ht="90" x14ac:dyDescent="0.25">
      <c r="A445" t="s">
        <v>1245</v>
      </c>
      <c r="B445" t="s">
        <v>1246</v>
      </c>
      <c r="C445">
        <v>2022</v>
      </c>
      <c r="D445" t="s">
        <v>1261</v>
      </c>
      <c r="E445" t="s">
        <v>707</v>
      </c>
      <c r="F445">
        <v>243</v>
      </c>
      <c r="G445" t="s">
        <v>1262</v>
      </c>
      <c r="H445" s="1" t="str">
        <f>_xlfn.TEXTJOIN(CHAR(10),FALSE, _xlfn.TEXTSPLIT(Table_textAnnotations[[#This Row],[Anno_Text]], "ABSATZ"))</f>
        <v>Der N. pudendus tritt aus der Fossa ischioanalis und zieht,  nach Abgabe der Nn. rectales inferiores zum M.sphincter ani externus und zur Haut des Anus, an den Hinterrand des Diaphragma urogenitale, wo er sich in seine Endäste (Nn. perineales) aufspaltet. Die oberflächlichen Äste ziehen durch das Spatium perinei superficiale (hier nicht zu sehen) zur Haut des Damms und zu den hinteren Anteilen der großen Vulvalippen (Rr. labiales posteriores). Die tiefen Äste verlaufen im Spatium profundum perinei und innervieren über Rr.musculares die Schwellkörpermuskeln und über den N. dorsalis clitoridis die Clitoris. Die vorderen Anteile der großen Vulvalippen werden von Rr. labiales anteriores aus dem  N. ilioinguinalis versorgt (hier nicht zu sehen).</v>
      </c>
      <c r="I445" s="1" t="s">
        <v>1429</v>
      </c>
      <c r="J445" s="2" t="b">
        <v>1</v>
      </c>
      <c r="L445" t="str">
        <f>_xlfn.TEXTJOIN("_",TRUE,Table_textAnnotations[[#This Row],[Buch_Key]],Table_textAnnotations[[#This Row],[Anno_Key]],IF(ISBLANK(Table_textAnnotations[[#This Row],[Anno_Page_manuell]]),Table_textAnnotations[[#This Row],[Anno_Page_Auto]],Table_textAnnotations[[#This Row],[Anno_Page_manuell]]))&amp; ".txt"</f>
        <v>UJ9ZXK7A_HQ488XTP_243.txt</v>
      </c>
    </row>
    <row r="446" spans="1:12" ht="75" x14ac:dyDescent="0.25">
      <c r="A446" t="s">
        <v>1245</v>
      </c>
      <c r="B446" t="s">
        <v>1246</v>
      </c>
      <c r="C446">
        <v>2022</v>
      </c>
      <c r="D446" t="s">
        <v>1263</v>
      </c>
      <c r="E446" t="s">
        <v>707</v>
      </c>
      <c r="F446">
        <v>243</v>
      </c>
      <c r="G446" t="s">
        <v>1264</v>
      </c>
      <c r="H446" s="1" t="str">
        <f>_xlfn.TEXTJOIN(CHAR(10),FALSE, _xlfn.TEXTSPLIT(Table_textAnnotations[[#This Row],[Anno_Text]], "ABSATZ"))</f>
        <v>Die kleinen Vorhofdrüsen (Glandulae vestibulares minores - hier nicht zu sehen) münden mit zahlreichen Öffnungen in der Nähe des Ostium urethrae  externum, die paarigen großen Vorhofdrüsen (Glandulae vestibulares majores bzw. Bartholin-Drüsen) mit jeweils einem 1 cm langen Gang am Hinterrand des Bulbus vestibuli auf der Innenfläche der kleinen VulvaM. ischiocavernosus  N. dorsalis clitoridis  Plexus sacralis  N. pudendus  Nn. rectales inferiores  M.sphincter ani externus  Rr. labiales Nn. perineales posteriores  F Innervation der äußeren weiblichen  Geschlechtsorgane  lippen.</v>
      </c>
      <c r="I446" s="1" t="s">
        <v>1428</v>
      </c>
      <c r="J446" s="2" t="b">
        <v>1</v>
      </c>
      <c r="L446" t="str">
        <f>_xlfn.TEXTJOIN("_",TRUE,Table_textAnnotations[[#This Row],[Buch_Key]],Table_textAnnotations[[#This Row],[Anno_Key]],IF(ISBLANK(Table_textAnnotations[[#This Row],[Anno_Page_manuell]]),Table_textAnnotations[[#This Row],[Anno_Page_Auto]],Table_textAnnotations[[#This Row],[Anno_Page_manuell]]))&amp; ".txt"</f>
        <v>UJ9ZXK7A_CZ4QETDV_243.txt</v>
      </c>
    </row>
    <row r="447" spans="1:12" ht="195" x14ac:dyDescent="0.25">
      <c r="A447" t="s">
        <v>1245</v>
      </c>
      <c r="B447" t="s">
        <v>1246</v>
      </c>
      <c r="C447">
        <v>2022</v>
      </c>
      <c r="D447" t="s">
        <v>1265</v>
      </c>
      <c r="E447" t="s">
        <v>327</v>
      </c>
      <c r="F447">
        <v>244</v>
      </c>
      <c r="G447" t="s">
        <v>1266</v>
      </c>
      <c r="H447" s="1" t="str">
        <f>_xlfn.TEXTJOIN(CHAR(10),FALSE, _xlfn.TEXTSPLIT(Table_textAnnotations[[#This Row],[Anno_Text]], "ABSATZ"))</f>
        <v>Als Bulboklitoralorgan bezeichnen Marino und Lepidi (2014) die eng miteinander verbundenen kavernösen und spongiösen Strukturen des äußeren weiblichen Genitale (Corpora cavernosa bzw. spongiosa). Als erektile Schwellkörper spielen diese Strukturen eine zentrale Rolle bei der sexuellen Erregung und sind wichtige Orte der Erzeugung weiblicher Lust. Zu den Corpora cavernosa gehören: ⚫ auf- und absteigender Teil des Klitoriskörpers (Corpus clitoridis, Pars ascendens/descendens), " Klitoriswinkel (Angulus clitoridis) sowie ⚫linker und rechter Klitorisschenkel (Crus clitoridis sinistrum/dextrum). Die Corpora spongiosa bestehen aus: ° Klitoriseichel (Glans clitoridis), • Vorhofbulben (Bulbi vestibuli, paarig) und (infra-corporeal unter dem Klitoriskörper") RSP - Residual Spongy Part. Beide Corpora liegen kaudal der Symphyse zwischen den beiden Rr. inferiores des Schambeins im sog. Schambeinbogen (=Arcus pubicus). Die Befestigung des Bulboklitoralorgans am kleinen Becken erfolgt sowohl über das Lig. suspensorium clitoridis, das vom gesamten Klitoriskörper breitflächig zur Symphyse zieht (s. b), als auch über die retrokruralen Faszien der Klitorisschenkel an den Rr. inferiores ossis pubis. Beachte: Das Bulboklitoralorgan ist von der Glans clitoridis bis zu den Enden der Klitorisschenkel etwa 9 cm lang. Die Fourchette (Frenulum labiorum minorum) verbindet die posterioren Ausläufer der beiden kleinen Vulvalippen und begrenzt die Fossa navicularis. Das Frenulum clitoridis (Klitorisbändchen) ist paarig und zieht von der Glans clitoridis in die jeweilige kleine Vulvalippe. Als einzige, von außen sichtbare Struktur erkennt man den vorderen Teil der Glans clitoridis unter der klitoralen Vorhaut (Preputium clitoridis).</v>
      </c>
      <c r="I447" s="1" t="s">
        <v>1420</v>
      </c>
      <c r="J447" s="2" t="b">
        <v>1</v>
      </c>
      <c r="L447" t="str">
        <f>_xlfn.TEXTJOIN("_",TRUE,Table_textAnnotations[[#This Row],[Buch_Key]],Table_textAnnotations[[#This Row],[Anno_Key]],IF(ISBLANK(Table_textAnnotations[[#This Row],[Anno_Page_manuell]]),Table_textAnnotations[[#This Row],[Anno_Page_Auto]],Table_textAnnotations[[#This Row],[Anno_Page_manuell]]))&amp; ".txt"</f>
        <v>UJ9ZXK7A_FJE6Z9N7_244.txt</v>
      </c>
    </row>
    <row r="448" spans="1:12" ht="105" x14ac:dyDescent="0.25">
      <c r="A448" t="s">
        <v>1245</v>
      </c>
      <c r="B448" t="s">
        <v>1246</v>
      </c>
      <c r="C448">
        <v>2022</v>
      </c>
      <c r="D448" t="s">
        <v>1267</v>
      </c>
      <c r="E448" t="s">
        <v>327</v>
      </c>
      <c r="F448">
        <v>244</v>
      </c>
      <c r="G448" t="s">
        <v>1268</v>
      </c>
      <c r="H448" s="1" t="str">
        <f>_xlfn.TEXTJOIN(CHAR(10),FALSE, _xlfn.TEXTSPLIT(Table_textAnnotations[[#This Row],[Anno_Text]], "ABSATZ"))</f>
        <v>Aufgrund ihrer gemeinsamen embryonalen Anlage (s.S.230) stehen die Klitoriseichel und die beiden Bulbi vestibuli über das RSP in Verbindung. Unmittelbar unterhalb der Bulbuskommissur (Commisura bulbi vestibuli) verlaufen Harnröhre und Vagina (s.b). Die vom Vestibulum sicht-und tastbare Vorwölbung zwischen Harnröhrenöffnung und Glans clitoridis entspricht der bindegewebigen Verschmelzung der beiden Urogenital falten und wird als Raphe bzw. als Harnröhrenzügel bezeichnet (s.a).  Zwischen RSP und absteigendem Klitoriskörper befindet sich einVenen komplex aus 8-10 Vv. communicantes, der nach Georg Ludwig Kobelt. 1844, benannte sog. Kobeltsche Venenkomplex. Bei sexueller Erregung pressen die Muskeln der Klitorisschenkel (M. ischiocavernosus) und der Vorhofbulben (M. bulbospongiosus) rhythmisch Blut über den Kobeltschen Venenkomplex in den Klitoriskörper und die Klitoriseichel.</v>
      </c>
      <c r="I448" s="1" t="s">
        <v>1451</v>
      </c>
      <c r="J448" s="2" t="b">
        <v>1</v>
      </c>
      <c r="L448" t="str">
        <f>_xlfn.TEXTJOIN("_",TRUE,Table_textAnnotations[[#This Row],[Buch_Key]],Table_textAnnotations[[#This Row],[Anno_Key]],IF(ISBLANK(Table_textAnnotations[[#This Row],[Anno_Page_manuell]]),Table_textAnnotations[[#This Row],[Anno_Page_Auto]],Table_textAnnotations[[#This Row],[Anno_Page_manuell]]))&amp; ".txt"</f>
        <v>UJ9ZXK7A_RSHG7EU2_244.txt</v>
      </c>
    </row>
    <row r="449" spans="1:12" ht="120" x14ac:dyDescent="0.25">
      <c r="A449" t="s">
        <v>1245</v>
      </c>
      <c r="B449" t="s">
        <v>1246</v>
      </c>
      <c r="C449">
        <v>2022</v>
      </c>
      <c r="D449" t="s">
        <v>1269</v>
      </c>
      <c r="E449" t="s">
        <v>350</v>
      </c>
      <c r="F449">
        <v>245</v>
      </c>
      <c r="G449" t="s">
        <v>1270</v>
      </c>
      <c r="H449" s="1" t="str">
        <f>_xlfn.TEXTJOIN(CHAR(10),FALSE, _xlfn.TEXTSPLIT(Table_textAnnotations[[#This Row],[Anno_Text]], "ABSATZ"))</f>
        <v>Der N. dorsalis clitoridis zieht, von lateral kommend, entlang des jeweiligen Crus clitoridis auf die Dorsalseite des Klitoriskörpers und verläuft zunächst geschützt im Lig. suspensorium clitoridis, später zwischen Tunica albuginea und Fascia clitoridis weiter zur Glans clitoridis (s.b). An der Grenze zur Glans clitoridis beginnt die  eigentliche Aufzweigung des noch immer etwa 2 mm dicken Endastes  des N. dorsalis clitoridis (d. h. 95% der gesamten afferenten Nervenfasern beginnen in der Glans, zuvor zweigen nur einige wenige seitliche Äste ab). Mit ihren über 8000 sensorischen Nervenendigungen ist die Klitoriseichel eine der empfindlichsten Strukturen des weiblichen Körpers. Neben freien Nervenendigungen spielen v. a. korpuskuläre Mechanorezeptoren (im Wesentlichen Genital- und Vater-Pacini-Körperchen, hier nicht dargestellt) eine wichtige Rolle bei der Generierung sexueller Erregung und dem Auslösen des Orgasmus (Haag-Wackernagel, 2021a, 2021b und 2022).</v>
      </c>
      <c r="I449" s="1" t="s">
        <v>1270</v>
      </c>
      <c r="J449" s="2" t="b">
        <v>1</v>
      </c>
      <c r="L449" t="str">
        <f>_xlfn.TEXTJOIN("_",TRUE,Table_textAnnotations[[#This Row],[Buch_Key]],Table_textAnnotations[[#This Row],[Anno_Key]],IF(ISBLANK(Table_textAnnotations[[#This Row],[Anno_Page_manuell]]),Table_textAnnotations[[#This Row],[Anno_Page_Auto]],Table_textAnnotations[[#This Row],[Anno_Page_manuell]]))&amp; ".txt"</f>
        <v>UJ9ZXK7A_BPVEJZU4_245.txt</v>
      </c>
    </row>
    <row r="450" spans="1:12" ht="105" x14ac:dyDescent="0.25">
      <c r="A450" t="s">
        <v>1245</v>
      </c>
      <c r="B450" t="s">
        <v>1246</v>
      </c>
      <c r="C450">
        <v>2022</v>
      </c>
      <c r="D450" t="s">
        <v>1271</v>
      </c>
      <c r="E450" t="s">
        <v>353</v>
      </c>
      <c r="F450">
        <v>246</v>
      </c>
      <c r="G450" t="s">
        <v>1272</v>
      </c>
      <c r="H450" s="1" t="str">
        <f>_xlfn.TEXTJOIN(CHAR(10),FALSE, _xlfn.TEXTSPLIT(Table_textAnnotations[[#This Row],[Anno_Text]], "ABSATZ"))</f>
        <v>B WHO-Klassifikation der Beschneidungsformen Typ 1: Partielle oder komplette Entfernung der Glans clitoridis und/oder der Klitorisvorhaut (Preputium clitoridis). Typ II: Partielle oder komplette Entfernung der Glans clitoridis und der kleinen Vulvalippen mit oder ohne Exzision der großen Vulvalippen. Typ III: Verengung des Introitus vaginae (Infibulation) durch bedeckenden, narbigen Hautverschluss nach Entfernung oder Zusammenheftender kleinen und/oder großen Vulvalippen, mit oder ohne Entfernung der Glans clitoridis (sog. Pharaonische Beschneidung, bei der die Vaginal öffnung so eng verschlossen wird, dass nur eine winzige Öffnung für Urin und Menstruationsblut verbleibt). Typ IV: Alle anderen schädigenden Eingriffe (wie z. B. Einstechen, Einschneiden, Durchbohren, Ausbrennen, Verätzen etc.), die das weibliche Genitale verletzen und keinem medizinischen Zweck dienen.</v>
      </c>
      <c r="I450" s="1" t="s">
        <v>1272</v>
      </c>
      <c r="J450" s="2" t="b">
        <v>0</v>
      </c>
      <c r="L450" t="str">
        <f>_xlfn.TEXTJOIN("_",TRUE,Table_textAnnotations[[#This Row],[Buch_Key]],Table_textAnnotations[[#This Row],[Anno_Key]],IF(ISBLANK(Table_textAnnotations[[#This Row],[Anno_Page_manuell]]),Table_textAnnotations[[#This Row],[Anno_Page_Auto]],Table_textAnnotations[[#This Row],[Anno_Page_manuell]]))&amp; ".txt"</f>
        <v>UJ9ZXK7A_FWZJAUCF_246.txt</v>
      </c>
    </row>
    <row r="451" spans="1:12" ht="105" x14ac:dyDescent="0.25">
      <c r="A451" t="s">
        <v>1245</v>
      </c>
      <c r="B451" t="s">
        <v>1246</v>
      </c>
      <c r="C451">
        <v>2022</v>
      </c>
      <c r="D451" t="s">
        <v>1273</v>
      </c>
      <c r="E451" t="s">
        <v>353</v>
      </c>
      <c r="F451">
        <v>246</v>
      </c>
      <c r="G451" t="s">
        <v>1274</v>
      </c>
      <c r="H451" s="1" t="str">
        <f>_xlfn.TEXTJOIN(CHAR(10),FALSE, _xlfn.TEXTSPLIT(Table_textAnnotations[[#This Row],[Anno_Text]], "ABSATZ"))</f>
        <v>[Kontext: Anatomisch-funktionelle Rekonstruktion des äußeren weiblichen Genitale nach Typ-III Beschneidung]
Spezielle rekonstruktive und mikrochirurgische Operationsverfahren ermöglichen eine weitgehende anatomische Wiederherstellung des äußeren Genitale (O'Dey 2018, 2019, 2020). Die Therapien reichen von einer vergleichsweise einfachen anatomischen Wiedereröffnung des Introitus vaginae (Defibulation) bis hin zu komplexen plastischen Operationen (z. B. Rekonstruktion der Vulvalippen, s. a u.b, Wiederherstellung einer Neoglans/Preputium clitoridis, s. c-g, rechte Seite). Während die Defibulation dazu dient, den Geschlechtsverkehr, den Harnfluss, die physiologische Entbindung sowie die Menstruation wieder zu ermöglichen, soll die Klitorisrekonstruktion v. a. chronische Schmerzen lindern und die sexuelle Empfindung verbessern.</v>
      </c>
      <c r="I451" s="1" t="s">
        <v>1350</v>
      </c>
      <c r="J451" s="2" t="b">
        <v>0</v>
      </c>
      <c r="L451" t="str">
        <f>_xlfn.TEXTJOIN("_",TRUE,Table_textAnnotations[[#This Row],[Buch_Key]],Table_textAnnotations[[#This Row],[Anno_Key]],IF(ISBLANK(Table_textAnnotations[[#This Row],[Anno_Page_manuell]]),Table_textAnnotations[[#This Row],[Anno_Page_Auto]],Table_textAnnotations[[#This Row],[Anno_Page_manuell]]))&amp; ".txt"</f>
        <v>UJ9ZXK7A_99NCCTJB_246.txt</v>
      </c>
    </row>
    <row r="452" spans="1:12" ht="210" x14ac:dyDescent="0.25">
      <c r="A452" t="s">
        <v>1245</v>
      </c>
      <c r="B452" t="s">
        <v>1246</v>
      </c>
      <c r="C452">
        <v>2022</v>
      </c>
      <c r="D452" t="s">
        <v>1275</v>
      </c>
      <c r="E452" t="s">
        <v>356</v>
      </c>
      <c r="F452">
        <v>247</v>
      </c>
      <c r="G452" t="s">
        <v>1276</v>
      </c>
      <c r="H452" s="1" t="str">
        <f>_xlfn.TEXTJOIN(CHAR(10),FALSE, _xlfn.TEXTSPLIT(Table_textAnnotations[[#This Row],[Anno_Text]], "ABSATZ"))</f>
        <v>Rekonstruktion von Klitorisspitze (Neurotizing and molding of the ditoral stump-NMCS-Prozedur) und Klitorisvorhaut (Omega-domed = OD-Lappenplastik) Dieser Teil der Rekonstruktion beginnt mit dem sog. Omega-Schnitt (s. c), d.h.: • Inzision in Form eines zentralen, U-förmigen Lappens (s. A in der Abb., nach offizieller Nomenklatur ein sog. halbkreisförmiger, anterior gestielter, gut durchbluteter Transpositionslappen), der die Rekonstruktion der Klitorisvorhaut ermöglicht. Außerdem beidseitig Inzision zweier lateraler, Z-förmiger Lappen (s. B in der Abb.) für die spätere Rekonstruktion der Vorhaut; • Nach-oben-Klappen des U-förmigen Lappens und Aufsuchen des Klitorisstumpfes in der Tiefe sowie  • Lösen des Lig. suspensorium (- Mobilisieren des Klitorisstumpfes), um den Klitorisstumpf nach vorne zu ziehen und die neue Klitorisspitze (Neoglans) an der Stelle der durch Beschneidung entfernten Glans clitoridis zu platzieren und zu fixieren, s. d. • Aufsuchen der Nn. dorsales clitoridis und Reintegration beider Nerven in die neu geformte Klitorisspitze (e) sowie Verschluss der vorderen Schnittfläche mit einem Tunica-albuginea-Lappen („capping") (f); zum Schluss Rekonstruktion einer neuen Vorhaut mittels beidseitiger Z-Plastik (g): Die Z-Plastik ermöglicht eine spannungsfreie Verschiebung von Hautbereichen und wird daher häufig bei Narbenkorrekturen angewendet. Die beiden dreieckig geformten Teillappen (A und B) werden nach medial verlagert und unter der neu entstandenen Klitorissspitze miteinander vernäht. Durch die Verlagerung der beiden Z-Plastiken nach medial, wird die Basis des halbkreisförmigen Mittel-Lappens von den Seiten her einander spannungsfrei angenähert, d. h. sie verschmälert sich. Durch den Hautüberschuss entsteht an der Hebestelle ein Dach bzw. eine Haube, die neugebildete, rekonstruierte Klitorisvorhaut.</v>
      </c>
      <c r="I452" s="1" t="s">
        <v>1276</v>
      </c>
      <c r="J452" s="2" t="b">
        <v>0</v>
      </c>
      <c r="L452" t="str">
        <f>_xlfn.TEXTJOIN("_",TRUE,Table_textAnnotations[[#This Row],[Buch_Key]],Table_textAnnotations[[#This Row],[Anno_Key]],IF(ISBLANK(Table_textAnnotations[[#This Row],[Anno_Page_manuell]]),Table_textAnnotations[[#This Row],[Anno_Page_Auto]],Table_textAnnotations[[#This Row],[Anno_Page_manuell]]))&amp; ".txt"</f>
        <v>UJ9ZXK7A_JL4BBAYC_247.txt</v>
      </c>
    </row>
    <row r="453" spans="1:12" ht="60" x14ac:dyDescent="0.25">
      <c r="A453" t="s">
        <v>1277</v>
      </c>
      <c r="B453" t="s">
        <v>1278</v>
      </c>
      <c r="C453">
        <v>2022</v>
      </c>
      <c r="D453" t="s">
        <v>1279</v>
      </c>
      <c r="E453" t="s">
        <v>51</v>
      </c>
      <c r="F453">
        <v>34</v>
      </c>
      <c r="G453" t="s">
        <v>1280</v>
      </c>
      <c r="H453" s="1" t="str">
        <f>_xlfn.TEXTJOIN(CHAR(10),FALSE, _xlfn.TEXTSPLIT(Table_textAnnotations[[#This Row],[Anno_Text]], "ABSATZ"))</f>
        <v>Aber im Scheidenvorhof liegen nicht nur Löcher (die Harnröhrenmündung und die Scheidenöffnung), sondern da liegt auch ganz  vorne an der Stelle, wo sich die inneren Schamlippen treffen, eine  kleine Erhebung, die sog. Klitoris, auch Kitzler genannt. Diese  Stelle ist sehr empfindlich bei Berührung, und die sanfte Berührung  der Klitoris kann besonders schön, aber bei grober Berührung u. U.  auch unangenehm oder schmerzhaft sein.</v>
      </c>
      <c r="I453" s="1" t="s">
        <v>1280</v>
      </c>
      <c r="J453" s="2" t="b">
        <v>1</v>
      </c>
      <c r="L453" t="str">
        <f>_xlfn.TEXTJOIN("_",TRUE,Table_textAnnotations[[#This Row],[Buch_Key]],Table_textAnnotations[[#This Row],[Anno_Key]],IF(ISBLANK(Table_textAnnotations[[#This Row],[Anno_Page_manuell]]),Table_textAnnotations[[#This Row],[Anno_Page_Auto]],Table_textAnnotations[[#This Row],[Anno_Page_manuell]]))&amp; ".txt"</f>
        <v>88MXX542_6Q7GYA62_34.txt</v>
      </c>
    </row>
    <row r="454" spans="1:12" ht="45" x14ac:dyDescent="0.25">
      <c r="A454" t="s">
        <v>1281</v>
      </c>
      <c r="B454" t="s">
        <v>1282</v>
      </c>
      <c r="C454">
        <v>2023</v>
      </c>
      <c r="D454" t="s">
        <v>1283</v>
      </c>
      <c r="E454" t="s">
        <v>81</v>
      </c>
      <c r="G454" t="s">
        <v>1284</v>
      </c>
      <c r="H454" s="1" t="str">
        <f>_xlfn.TEXTJOIN(CHAR(10),FALSE, _xlfn.TEXTSPLIT(Table_textAnnotations[[#This Row],[Anno_Text]], "ABSATZ"))</f>
        <v>Schulbücher zum Thema Sexualkunde sind immer noch binär,  staubig und tabuisierend geschrieben. Die Anatomie von  Vulvina wird weiterhin absolut vernachlässigt. Die Klitoris  wird meist gänzlich weggelassen und auch inter* Genitalien  werden einfach gar nicht erwähnt.</v>
      </c>
      <c r="I454" s="1" t="s">
        <v>1284</v>
      </c>
      <c r="J454" s="2" t="b">
        <v>0</v>
      </c>
      <c r="L454" t="str">
        <f>_xlfn.TEXTJOIN("_",TRUE,Table_textAnnotations[[#This Row],[Buch_Key]],Table_textAnnotations[[#This Row],[Anno_Key]],IF(ISBLANK(Table_textAnnotations[[#This Row],[Anno_Page_manuell]]),Table_textAnnotations[[#This Row],[Anno_Page_Auto]],Table_textAnnotations[[#This Row],[Anno_Page_manuell]]))&amp; ".txt"</f>
        <v>294WBTT5_TZBAFGV4_91.txt</v>
      </c>
    </row>
    <row r="455" spans="1:12" ht="105" x14ac:dyDescent="0.25">
      <c r="A455" t="s">
        <v>1281</v>
      </c>
      <c r="B455" t="s">
        <v>1282</v>
      </c>
      <c r="C455">
        <v>2023</v>
      </c>
      <c r="D455" t="s">
        <v>1285</v>
      </c>
      <c r="E455" t="s">
        <v>140</v>
      </c>
      <c r="F455">
        <v>119</v>
      </c>
      <c r="G455" t="s">
        <v>1286</v>
      </c>
      <c r="H455" s="1" t="str">
        <f>_xlfn.TEXTJOIN(CHAR(10),FALSE, _xlfn.TEXTSPLIT(Table_textAnnotations[[#This Row],[Anno_Text]], "ABSATZ"))</f>
        <v>Es [das Urgenital] besteht aus dem Schwellkörper, aus welchem sich Klitoris oder Penis entwickeln können. Aus den Gonaden entwickeln sich Eierstöcke oder Hoden, aus dem äußeren Gewebe entwickeln sich Hodensack beziehungsweise äußere Labien. Die inneren Labien und die Kapuze der Klitoris entstehen aus dem gleichen Gewebe, woraus sich auch Penisschaft und Vorhaut entwickeln können. Die Harnröhre verläuft durch den Schwellkörper, also entweder zwischen den beiden Klitorisschenkeln hindurch oder auch durch den Penis. Die Harnröhre kann auch durch die Klitorisspitze verlaufen. Ich kenne Menschen, die sich als inter* positionieren und das Wort Vulvina ebenfalls als Selbstbezeichnung nutzen. Für Vulvina ist es gleich, ob die Harnröhre zwischen den Schenkeln oder durch die Klitorisspitze verläuft.</v>
      </c>
      <c r="I455" s="1" t="s">
        <v>1286</v>
      </c>
      <c r="J455" s="2" t="b">
        <v>1</v>
      </c>
      <c r="L455" t="str">
        <f>_xlfn.TEXTJOIN("_",TRUE,Table_textAnnotations[[#This Row],[Buch_Key]],Table_textAnnotations[[#This Row],[Anno_Key]],IF(ISBLANK(Table_textAnnotations[[#This Row],[Anno_Page_manuell]]),Table_textAnnotations[[#This Row],[Anno_Page_Auto]],Table_textAnnotations[[#This Row],[Anno_Page_manuell]]))&amp; ".txt"</f>
        <v>294WBTT5_CWEGKKC8_119.txt</v>
      </c>
    </row>
    <row r="456" spans="1:12" ht="60" x14ac:dyDescent="0.25">
      <c r="A456" t="s">
        <v>1281</v>
      </c>
      <c r="B456" t="s">
        <v>1282</v>
      </c>
      <c r="C456">
        <v>2023</v>
      </c>
      <c r="D456" t="s">
        <v>1287</v>
      </c>
      <c r="E456" t="s">
        <v>871</v>
      </c>
      <c r="F456">
        <v>124</v>
      </c>
      <c r="G456" t="s">
        <v>1288</v>
      </c>
      <c r="H456" s="1" t="str">
        <f>_xlfn.TEXTJOIN(CHAR(10),FALSE, _xlfn.TEXTSPLIT(Table_textAnnotations[[#This Row],[Anno_Text]], "ABSATZ"))</f>
        <v>Die inneren Lippen werden immer noch oft als »kleine&lt;&lt; Labien  bezeichnet. Das ist missverständlich, weil sie oft nicht kleiner  sind, als die äußeren und somit aus der Umarmung der  äußeren Lippen herausragen können.  Oben, wo die äußeren Lippen zusammenwachsen, werden.  sie durch die Kapuze der Klitoris geschützt. Das ist ein kleines  Häutchen, welches die empfindliche Spitze der Klitoris  bedeckt. Wenn sich das Urgenital zum Penis entwickelt, wird  dieses Häutchen zur Vorhaut.</v>
      </c>
      <c r="I456" s="1" t="s">
        <v>1432</v>
      </c>
      <c r="J456" s="2" t="b">
        <v>1</v>
      </c>
      <c r="L456" t="str">
        <f>_xlfn.TEXTJOIN("_",TRUE,Table_textAnnotations[[#This Row],[Buch_Key]],Table_textAnnotations[[#This Row],[Anno_Key]],IF(ISBLANK(Table_textAnnotations[[#This Row],[Anno_Page_manuell]]),Table_textAnnotations[[#This Row],[Anno_Page_Auto]],Table_textAnnotations[[#This Row],[Anno_Page_manuell]]))&amp; ".txt"</f>
        <v>294WBTT5_3BXQJDIJ_124.txt</v>
      </c>
    </row>
    <row r="457" spans="1:12" ht="60" x14ac:dyDescent="0.25">
      <c r="A457" t="s">
        <v>1281</v>
      </c>
      <c r="B457" t="s">
        <v>1282</v>
      </c>
      <c r="C457">
        <v>2023</v>
      </c>
      <c r="D457" t="s">
        <v>1289</v>
      </c>
      <c r="E457" t="s">
        <v>871</v>
      </c>
      <c r="F457">
        <v>124</v>
      </c>
      <c r="G457" t="s">
        <v>1290</v>
      </c>
      <c r="H457" s="1" t="str">
        <f>_xlfn.TEXTJOIN(CHAR(10),FALSE, _xlfn.TEXTSPLIT(Table_textAnnotations[[#This Row],[Anno_Text]], "ABSATZ"))</f>
        <v>Die Klitoris ist ein verhältnismäßig großes Organ, welches  aus Schwellgewebe besteht und sich zum überwiegenden  Teil im Inneren des Körpers befindet. Der äußerlich sichtbare  Teil, die sogenannte Klitorisperle oder -spitze, ist natürlich bei  unterschiedlichen Vulvinen unterschiedlich in Größe und Form.  Die äußeren und inneren Labien umgeben das  Schwellgewebe. Unter der Klitorisspitze befindet sich die  Harnröhrenöffnung.</v>
      </c>
      <c r="I457" s="1" t="s">
        <v>1290</v>
      </c>
      <c r="J457" s="2" t="b">
        <v>1</v>
      </c>
      <c r="L457" t="str">
        <f>_xlfn.TEXTJOIN("_",TRUE,Table_textAnnotations[[#This Row],[Buch_Key]],Table_textAnnotations[[#This Row],[Anno_Key]],IF(ISBLANK(Table_textAnnotations[[#This Row],[Anno_Page_manuell]]),Table_textAnnotations[[#This Row],[Anno_Page_Auto]],Table_textAnnotations[[#This Row],[Anno_Page_manuell]]))&amp; ".txt"</f>
        <v>294WBTT5_SLZJLLLS_124.txt</v>
      </c>
    </row>
    <row r="458" spans="1:12" x14ac:dyDescent="0.25">
      <c r="A458" t="s">
        <v>1281</v>
      </c>
      <c r="B458" t="s">
        <v>1282</v>
      </c>
      <c r="C458">
        <v>2023</v>
      </c>
      <c r="D458" t="s">
        <v>1291</v>
      </c>
      <c r="E458" t="s">
        <v>876</v>
      </c>
      <c r="G458" t="s">
        <v>1292</v>
      </c>
      <c r="H458" s="1" t="str">
        <f>_xlfn.TEXTJOIN(CHAR(10),FALSE, _xlfn.TEXTSPLIT(Table_textAnnotations[[#This Row],[Anno_Text]], "ABSATZ"))</f>
        <v>Spürbar sind von innen die  empfindlichen Nerven der Klitoris, auch bekannt als G-Punkt.</v>
      </c>
      <c r="I458" s="1" t="s">
        <v>1292</v>
      </c>
      <c r="J458" s="2" t="b">
        <v>1</v>
      </c>
      <c r="L458" t="str">
        <f>_xlfn.TEXTJOIN("_",TRUE,Table_textAnnotations[[#This Row],[Buch_Key]],Table_textAnnotations[[#This Row],[Anno_Key]],IF(ISBLANK(Table_textAnnotations[[#This Row],[Anno_Page_manuell]]),Table_textAnnotations[[#This Row],[Anno_Page_Auto]],Table_textAnnotations[[#This Row],[Anno_Page_manuell]]))&amp; ".txt"</f>
        <v>294WBTT5_JELHMTBI_124.txt</v>
      </c>
    </row>
    <row r="459" spans="1:12" ht="60" x14ac:dyDescent="0.25">
      <c r="A459" t="s">
        <v>1281</v>
      </c>
      <c r="B459" t="s">
        <v>1282</v>
      </c>
      <c r="C459">
        <v>2023</v>
      </c>
      <c r="D459" t="s">
        <v>1293</v>
      </c>
      <c r="E459" t="s">
        <v>1294</v>
      </c>
      <c r="F459">
        <v>130</v>
      </c>
      <c r="G459" t="s">
        <v>1295</v>
      </c>
      <c r="H459" s="1" t="str">
        <f>_xlfn.TEXTJOIN(CHAR(10),FALSE, _xlfn.TEXTSPLIT(Table_textAnnotations[[#This Row],[Anno_Text]], "ABSATZ"))</f>
        <v>Die Klitoris entwickelt sich aus dem Schwellgewebe des  Urgenitals. Aus der gleichen Anlage entwickelt sich auch der  Penis. Die Klitoris befindet sich zum großen Teil innerhalb  des Körpers, nur ihre Spitze oder auch Perle ist nach außen  sichtbar. Im Inneren besitzt sie zwei Schenkel, die sich um  die Harnröhre und um die Vulvinaöffnung schmiegen. Die Harnröhrenöffnung liegt also unter der Klitorisspitze. Die  Klitorisspitze ist, je nach Vulvina, in unterschiedlicher Größe  und Form sichtbar.</v>
      </c>
      <c r="I459" s="1" t="s">
        <v>1295</v>
      </c>
      <c r="J459" s="2" t="b">
        <v>1</v>
      </c>
      <c r="L459" t="str">
        <f>_xlfn.TEXTJOIN("_",TRUE,Table_textAnnotations[[#This Row],[Buch_Key]],Table_textAnnotations[[#This Row],[Anno_Key]],IF(ISBLANK(Table_textAnnotations[[#This Row],[Anno_Page_manuell]]),Table_textAnnotations[[#This Row],[Anno_Page_Auto]],Table_textAnnotations[[#This Row],[Anno_Page_manuell]]))&amp; ".txt"</f>
        <v>294WBTT5_GA2MQR9L_130.txt</v>
      </c>
    </row>
    <row r="460" spans="1:12" ht="30" x14ac:dyDescent="0.25">
      <c r="A460" t="s">
        <v>1281</v>
      </c>
      <c r="B460" t="s">
        <v>1282</v>
      </c>
      <c r="C460">
        <v>2023</v>
      </c>
      <c r="D460" t="s">
        <v>1296</v>
      </c>
      <c r="E460" t="s">
        <v>1294</v>
      </c>
      <c r="F460">
        <v>130</v>
      </c>
      <c r="G460" t="s">
        <v>1297</v>
      </c>
      <c r="H460" s="1" t="str">
        <f>_xlfn.TEXTJOIN(CHAR(10),FALSE, _xlfn.TEXTSPLIT(Table_textAnnotations[[#This Row],[Anno_Text]], "ABSATZ"))</f>
        <v>Manchmal verläuft die Harnröhre auch durch die Klitorisspitze.  Die meisten Menschen bezeichnen sich in diesem Fall als  inter geschlechtlich.</v>
      </c>
      <c r="I460" s="1" t="s">
        <v>1434</v>
      </c>
      <c r="J460" s="2" t="b">
        <v>1</v>
      </c>
      <c r="L460" t="str">
        <f>_xlfn.TEXTJOIN("_",TRUE,Table_textAnnotations[[#This Row],[Buch_Key]],Table_textAnnotations[[#This Row],[Anno_Key]],IF(ISBLANK(Table_textAnnotations[[#This Row],[Anno_Page_manuell]]),Table_textAnnotations[[#This Row],[Anno_Page_Auto]],Table_textAnnotations[[#This Row],[Anno_Page_manuell]]))&amp; ".txt"</f>
        <v>294WBTT5_UL8C59SX_130.txt</v>
      </c>
    </row>
    <row r="461" spans="1:12" ht="75" x14ac:dyDescent="0.25">
      <c r="A461" t="s">
        <v>1281</v>
      </c>
      <c r="B461" t="s">
        <v>1282</v>
      </c>
      <c r="C461">
        <v>2023</v>
      </c>
      <c r="D461" t="s">
        <v>1298</v>
      </c>
      <c r="E461" t="s">
        <v>1299</v>
      </c>
      <c r="F461">
        <v>131</v>
      </c>
      <c r="G461" t="s">
        <v>1300</v>
      </c>
      <c r="H461" s="1" t="str">
        <f>_xlfn.TEXTJOIN(CHAR(10),FALSE, _xlfn.TEXTSPLIT(Table_textAnnotations[[#This Row],[Anno_Text]], "ABSATZ"))</f>
        <v>Die Klitoris bildet das größte vulvinale Schwellgewebe und  schwillt bei Erregung an.  Sie wurde lange Zeit weder benannt noch beschrieben und  ist das Organ, welches vor allem für Freude und Lustgewinn  da ist. Das Verschweigen beziehungsweise Nichtbenennen  der Klitoris trägt zur Marginalisierung vulvinaler Lust und  vulvinalen Begehrens entscheidend bei. Es ist erstaunlich,  wieviel Raum die bloße Existenz von Penissen einnimmt und  wie im Gegenzug dazu die Klitoris, die aus dem gleichen  Schwellgewebe entstanden ist, verschwiegen wird. Oftmals  wird auch nur die Klitorisspitze benannt, vielen ist sie als  &gt;&gt;Kitzler&lt;&lt; bekannt.</v>
      </c>
      <c r="I461" s="1" t="s">
        <v>1300</v>
      </c>
      <c r="J461" s="2" t="b">
        <v>0</v>
      </c>
      <c r="L461" t="str">
        <f>_xlfn.TEXTJOIN("_",TRUE,Table_textAnnotations[[#This Row],[Buch_Key]],Table_textAnnotations[[#This Row],[Anno_Key]],IF(ISBLANK(Table_textAnnotations[[#This Row],[Anno_Page_manuell]]),Table_textAnnotations[[#This Row],[Anno_Page_Auto]],Table_textAnnotations[[#This Row],[Anno_Page_manuell]]))&amp; ".txt"</f>
        <v>294WBTT5_6F887Z5H_131.txt</v>
      </c>
    </row>
    <row r="462" spans="1:12" x14ac:dyDescent="0.25">
      <c r="A462" t="s">
        <v>1281</v>
      </c>
      <c r="B462" t="s">
        <v>1282</v>
      </c>
      <c r="C462">
        <v>2023</v>
      </c>
      <c r="D462" t="s">
        <v>1301</v>
      </c>
      <c r="E462" t="s">
        <v>1299</v>
      </c>
      <c r="F462">
        <v>131</v>
      </c>
      <c r="G462" t="s">
        <v>1302</v>
      </c>
      <c r="H462" s="1" t="str">
        <f>_xlfn.TEXTJOIN(CHAR(10),FALSE, _xlfn.TEXTSPLIT(Table_textAnnotations[[#This Row],[Anno_Text]], "ABSATZ"))</f>
        <v>Weil die Klitoris stark innerviert ist, kann es sich besonders gut  anfühlen, sie zu berühren. Das gilt in jedem Alter.</v>
      </c>
      <c r="I462" s="1" t="s">
        <v>1302</v>
      </c>
      <c r="J462" s="2" t="b">
        <v>1</v>
      </c>
      <c r="L462" t="str">
        <f>_xlfn.TEXTJOIN("_",TRUE,Table_textAnnotations[[#This Row],[Buch_Key]],Table_textAnnotations[[#This Row],[Anno_Key]],IF(ISBLANK(Table_textAnnotations[[#This Row],[Anno_Page_manuell]]),Table_textAnnotations[[#This Row],[Anno_Page_Auto]],Table_textAnnotations[[#This Row],[Anno_Page_manuell]]))&amp; ".txt"</f>
        <v>294WBTT5_J65MWKAW_131.txt</v>
      </c>
    </row>
    <row r="463" spans="1:12" ht="90" x14ac:dyDescent="0.25">
      <c r="A463" t="s">
        <v>1281</v>
      </c>
      <c r="B463" t="s">
        <v>1282</v>
      </c>
      <c r="C463">
        <v>2023</v>
      </c>
      <c r="D463" t="s">
        <v>1303</v>
      </c>
      <c r="E463" t="s">
        <v>1304</v>
      </c>
      <c r="G463" t="s">
        <v>1305</v>
      </c>
      <c r="H463" s="1" t="str">
        <f>_xlfn.TEXTJOIN(CHAR(10),FALSE, _xlfn.TEXTSPLIT(Table_textAnnotations[[#This Row],[Anno_Text]], "ABSATZ"))</f>
        <v>Die Beschneidung/Verstümmelung von Vulvinen wird auf  unterschiedliche Weise durchgeführt. Immer werden Teile von  Vulvina abgeschnitten. Meist durch Menschen, die dieses  Schicksal selbst erleben mussten und zutiefst überzeugt  sind, dass es notwendig ist. Auswirkung ist die weitere  Unsichtbarmachung und Unterdrückung des Genitals sowie  die Reduzierung vulvinaler Lust. Ich werde nie das Glück in  den Augen der Person vergessen, die erfuhr, dass die Klitoris  im Inneren weitergeht und durch eine OP die Klitorisspitze  rekonstruiert werden kann. Die Freude über die Chance,  die sexuelle Lust, die diese Person trotz der Beschneidung/  Verstümmelung empfand, irgendwann schmerzfrei erleben zu  können, war groß.</v>
      </c>
      <c r="I463" s="1" t="s">
        <v>1305</v>
      </c>
      <c r="J463" s="2" t="b">
        <v>0</v>
      </c>
      <c r="L463" t="str">
        <f>_xlfn.TEXTJOIN("_",TRUE,Table_textAnnotations[[#This Row],[Buch_Key]],Table_textAnnotations[[#This Row],[Anno_Key]],IF(ISBLANK(Table_textAnnotations[[#This Row],[Anno_Page_manuell]]),Table_textAnnotations[[#This Row],[Anno_Page_Auto]],Table_textAnnotations[[#This Row],[Anno_Page_manuell]]))&amp; ".txt"</f>
        <v>294WBTT5_DIE3UJJV_139.txt</v>
      </c>
    </row>
    <row r="464" spans="1:12" ht="30" x14ac:dyDescent="0.25">
      <c r="A464" t="s">
        <v>1306</v>
      </c>
      <c r="B464" t="s">
        <v>1307</v>
      </c>
      <c r="C464">
        <v>2023</v>
      </c>
      <c r="D464" t="s">
        <v>1308</v>
      </c>
      <c r="E464" t="s">
        <v>559</v>
      </c>
      <c r="G464" t="s">
        <v>1309</v>
      </c>
      <c r="H464" s="1" t="str">
        <f>_xlfn.TEXTJOIN(CHAR(10),FALSE, _xlfn.TEXTSPLIT(Table_textAnnotations[[#This Row],[Anno_Text]], "ABSATZ"))</f>
        <v>Kitzler
Das ist ein anderes Wort für ➡ Klitoris.</v>
      </c>
      <c r="I464" s="1" t="s">
        <v>1351</v>
      </c>
      <c r="J464" s="2" t="b">
        <v>0</v>
      </c>
      <c r="L464" t="str">
        <f>_xlfn.TEXTJOIN("_",TRUE,Table_textAnnotations[[#This Row],[Buch_Key]],Table_textAnnotations[[#This Row],[Anno_Key]],IF(ISBLANK(Table_textAnnotations[[#This Row],[Anno_Page_manuell]]),Table_textAnnotations[[#This Row],[Anno_Page_Auto]],Table_textAnnotations[[#This Row],[Anno_Page_manuell]]))&amp; ".txt"</f>
        <v>TFRFG868_2KWDJVKD_47.txt</v>
      </c>
    </row>
    <row r="465" spans="1:12" ht="75" x14ac:dyDescent="0.25">
      <c r="A465" t="s">
        <v>1306</v>
      </c>
      <c r="B465" t="s">
        <v>1307</v>
      </c>
      <c r="C465">
        <v>2023</v>
      </c>
      <c r="D465" t="s">
        <v>1310</v>
      </c>
      <c r="E465" t="s">
        <v>559</v>
      </c>
      <c r="G465" t="s">
        <v>1311</v>
      </c>
      <c r="H465" s="1" t="str">
        <f>_xlfn.TEXTJOIN(CHAR(10),FALSE, _xlfn.TEXTSPLIT(Table_textAnnotations[[#This Row],[Anno_Text]], "ABSATZ"))</f>
        <v>Klitoris
Die Klitoris (Kitzler) gehört zu den ➡ Geschlechtsorganen von Mädchen und Frauen. Manche Menschen nennen die Klitoris auch Kitzler. Die Klitoris ist wichtig für die sexuelle Lust von Mädchen und Frauen. Der Großteil der Klitoris befindet sich im Inneren des Körpers. Die Spitze der Klitoris ist gut zu sehen. Sie hat einen kleinen ,,Hut" und ist besonders empfindlich, so wie die Eichel beim Jungen und Mann. Die Spitze der Klitoris befindet sich zwischen den Vulvalippen (Schamlippen). Bei sexueller Erregung kann die Klitoris anschwellen.</v>
      </c>
      <c r="I465" s="1" t="s">
        <v>1439</v>
      </c>
      <c r="J465" s="2" t="b">
        <v>1</v>
      </c>
      <c r="L465" t="str">
        <f>_xlfn.TEXTJOIN("_",TRUE,Table_textAnnotations[[#This Row],[Buch_Key]],Table_textAnnotations[[#This Row],[Anno_Key]],IF(ISBLANK(Table_textAnnotations[[#This Row],[Anno_Page_manuell]]),Table_textAnnotations[[#This Row],[Anno_Page_Auto]],Table_textAnnotations[[#This Row],[Anno_Page_manuell]]))&amp; ".txt"</f>
        <v>TFRFG868_8J7QF9L3_47.txt</v>
      </c>
    </row>
    <row r="466" spans="1:12" ht="45" x14ac:dyDescent="0.25">
      <c r="A466" t="s">
        <v>1306</v>
      </c>
      <c r="B466" t="s">
        <v>1307</v>
      </c>
      <c r="C466">
        <v>2023</v>
      </c>
      <c r="D466" t="s">
        <v>1312</v>
      </c>
      <c r="E466" t="s">
        <v>573</v>
      </c>
      <c r="F466">
        <v>52</v>
      </c>
      <c r="G466" t="s">
        <v>1313</v>
      </c>
      <c r="H466" s="1" t="str">
        <f>_xlfn.TEXTJOIN(CHAR(10),FALSE, _xlfn.TEXTSPLIT(Table_textAnnotations[[#This Row],[Anno_Text]], "ABSATZ"))</f>
        <v>Masturbation ist ein anderes Wort für  Selbstbefriedigung. Das bedeutet, den  eigenen Körper zu streicheln und  sich selbst an empfindsamen Stellen  wie zum Beispiel den Brustwarzen, der  Vagina (Scheide), der  (Kitzler) oder dem  Klitoris  Penis (Glied) und  den Hoden zu berühren und so  sexuell zu erregen - oft bis zum  ➡ Orgasmus. Die Masturbation ist  nicht ungesund und nicht schädlich.</v>
      </c>
      <c r="I466" s="1" t="s">
        <v>1313</v>
      </c>
      <c r="J466" s="2" t="b">
        <v>1</v>
      </c>
      <c r="L466" t="str">
        <f>_xlfn.TEXTJOIN("_",TRUE,Table_textAnnotations[[#This Row],[Buch_Key]],Table_textAnnotations[[#This Row],[Anno_Key]],IF(ISBLANK(Table_textAnnotations[[#This Row],[Anno_Page_manuell]]),Table_textAnnotations[[#This Row],[Anno_Page_Auto]],Table_textAnnotations[[#This Row],[Anno_Page_manuell]]))&amp; ".txt"</f>
        <v>TFRFG868_WFQULY7E_52.txt</v>
      </c>
    </row>
    <row r="467" spans="1:12" ht="30" x14ac:dyDescent="0.25">
      <c r="A467" t="s">
        <v>1306</v>
      </c>
      <c r="B467" t="s">
        <v>1307</v>
      </c>
      <c r="C467">
        <v>2023</v>
      </c>
      <c r="D467" t="s">
        <v>1314</v>
      </c>
      <c r="E467" t="s">
        <v>56</v>
      </c>
      <c r="F467">
        <v>85</v>
      </c>
      <c r="G467" t="s">
        <v>1315</v>
      </c>
      <c r="H467" s="1" t="str">
        <f>_xlfn.TEXTJOIN(CHAR(10),FALSE, _xlfn.TEXTSPLIT(Table_textAnnotations[[#This Row],[Anno_Text]], "ABSATZ"))</f>
        <v>Als Vulva werden die äußeren weiblichen Geschlechtsorgane als Ganzes  bezeichnet. Dazu gehören die äußeren  und inneren Vulvalippen (Schamlippen), der kleine sichtbare Teil der  Klitoris (Kitzler) und der Vaginaeingang.</v>
      </c>
      <c r="I467" s="1" t="s">
        <v>1433</v>
      </c>
      <c r="J467" s="2" t="b">
        <v>1</v>
      </c>
      <c r="L467" t="str">
        <f>_xlfn.TEXTJOIN("_",TRUE,Table_textAnnotations[[#This Row],[Buch_Key]],Table_textAnnotations[[#This Row],[Anno_Key]],IF(ISBLANK(Table_textAnnotations[[#This Row],[Anno_Page_manuell]]),Table_textAnnotations[[#This Row],[Anno_Page_Auto]],Table_textAnnotations[[#This Row],[Anno_Page_manuell]]))&amp; ".txt"</f>
        <v>TFRFG868_9QPA8SY5_85.txt</v>
      </c>
    </row>
    <row r="468" spans="1:12" x14ac:dyDescent="0.25">
      <c r="J468" s="2">
        <f>COUNTIF(Table_textAnnotations[Anatomisch-physiologisch?], TRUE)</f>
        <v>237</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7095-3BCA-4497-9E3C-B7D960A91BC4}">
  <dimension ref="A1"/>
  <sheetViews>
    <sheetView workbookViewId="0"/>
  </sheetViews>
  <sheetFormatPr baseColWidth="10" defaultColWidth="11.42578125"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6D5598-D4C8-4547-931D-A14FD4F20D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Table_textAnnotations</vt: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Aya Dencker</dc:creator>
  <cp:keywords/>
  <dc:description/>
  <cp:lastModifiedBy>Aya Dencker</cp:lastModifiedBy>
  <cp:revision/>
  <dcterms:created xsi:type="dcterms:W3CDTF">2025-09-19T15:24:12Z</dcterms:created>
  <dcterms:modified xsi:type="dcterms:W3CDTF">2025-10-06T14:59:53Z</dcterms:modified>
  <cp:category/>
  <cp:contentStatus/>
</cp:coreProperties>
</file>